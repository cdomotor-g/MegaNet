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/>
  <mc:AlternateContent xmlns:mc="http://schemas.openxmlformats.org/markup-compatibility/2006">
    <mc:Choice Requires="x15">
      <x15ac:absPath xmlns:x15ac="http://schemas.microsoft.com/office/spreadsheetml/2010/11/ac" url="https://bom365-my.sharepoint.com/personal/shobhit_chandra_bom_gov_au/Documents/Documents/Water Information/FWIN Program/"/>
    </mc:Choice>
  </mc:AlternateContent>
  <xr:revisionPtr revIDLastSave="0" documentId="8_{CE9F914A-6ACF-474F-AB8D-5A49FB83E425}" xr6:coauthVersionLast="47" xr6:coauthVersionMax="47" xr10:uidLastSave="{00000000-0000-0000-0000-000000000000}"/>
  <bookViews>
    <workbookView xWindow="28680" yWindow="-120" windowWidth="29040" windowHeight="15840" xr2:uid="{BD2C0035-B872-4F74-A96A-146F9694BDCC}"/>
  </bookViews>
  <sheets>
    <sheet name="Sheet1" sheetId="3" r:id="rId1"/>
  </sheets>
  <definedNames>
    <definedName name="_xlnm._FilterDatabase" localSheetId="0" hidden="1">Sheet1!$A$1:$O$458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3" l="1"/>
  <c r="O40" i="3"/>
  <c r="O43" i="3"/>
  <c r="O46" i="3"/>
  <c r="O5" i="3"/>
  <c r="O7" i="3"/>
  <c r="O13" i="3"/>
  <c r="O45" i="3"/>
  <c r="O390" i="3"/>
  <c r="O397" i="3"/>
  <c r="O451" i="3"/>
  <c r="O389" i="3"/>
  <c r="O384" i="3"/>
  <c r="O385" i="3"/>
  <c r="O386" i="3"/>
  <c r="O388" i="3"/>
  <c r="O387" i="3"/>
  <c r="O80" i="3"/>
  <c r="O85" i="3"/>
  <c r="O144" i="3"/>
  <c r="O74" i="3"/>
  <c r="O77" i="3"/>
  <c r="O78" i="3"/>
  <c r="O89" i="3"/>
  <c r="O263" i="3"/>
  <c r="O209" i="3"/>
  <c r="O210" i="3"/>
  <c r="O211" i="3"/>
  <c r="O214" i="3"/>
  <c r="O204" i="3"/>
  <c r="O205" i="3"/>
  <c r="O222" i="3"/>
  <c r="O201" i="3"/>
  <c r="O132" i="3"/>
  <c r="O135" i="3"/>
  <c r="O148" i="3"/>
  <c r="O155" i="3"/>
  <c r="O172" i="3"/>
  <c r="O151" i="3"/>
  <c r="O178" i="3"/>
  <c r="O161" i="3"/>
  <c r="O143" i="3"/>
  <c r="O147" i="3"/>
  <c r="O149" i="3"/>
  <c r="O167" i="3"/>
  <c r="O171" i="3"/>
  <c r="O266" i="3"/>
  <c r="O269" i="3"/>
  <c r="O273" i="3"/>
  <c r="O279" i="3"/>
  <c r="O276" i="3"/>
  <c r="O405" i="3"/>
  <c r="O407" i="3"/>
  <c r="O410" i="3"/>
  <c r="O408" i="3"/>
  <c r="O57" i="3"/>
  <c r="O406" i="3"/>
  <c r="O196" i="3"/>
  <c r="O188" i="3"/>
  <c r="O290" i="3"/>
  <c r="O195" i="3"/>
  <c r="O183" i="3"/>
  <c r="O185" i="3"/>
  <c r="O189" i="3"/>
  <c r="O186" i="3"/>
  <c r="O322" i="3"/>
  <c r="O288" i="3"/>
  <c r="O282" i="3"/>
  <c r="O298" i="3"/>
  <c r="O312" i="3"/>
  <c r="O313" i="3"/>
  <c r="O318" i="3"/>
  <c r="O315" i="3"/>
  <c r="O310" i="3"/>
  <c r="O414" i="3"/>
  <c r="O418" i="3"/>
  <c r="O419" i="3"/>
  <c r="O421" i="3"/>
  <c r="O412" i="3"/>
  <c r="O417" i="3"/>
  <c r="O413" i="3"/>
  <c r="O416" i="3"/>
  <c r="O301" i="3"/>
  <c r="O304" i="3"/>
  <c r="O303" i="3"/>
  <c r="O306" i="3"/>
  <c r="O297" i="3"/>
  <c r="O302" i="3"/>
  <c r="O432" i="3"/>
  <c r="O111" i="3"/>
  <c r="O115" i="3"/>
  <c r="O122" i="3"/>
  <c r="O96" i="3"/>
  <c r="O120" i="3"/>
  <c r="O107" i="3"/>
  <c r="O98" i="3"/>
  <c r="O121" i="3"/>
  <c r="O124" i="3"/>
  <c r="O125" i="3"/>
  <c r="O127" i="3"/>
  <c r="O64" i="3"/>
  <c r="O66" i="3"/>
  <c r="O67" i="3"/>
  <c r="O68" i="3"/>
  <c r="O17" i="3"/>
  <c r="O21" i="3"/>
  <c r="O328" i="3"/>
  <c r="O349" i="3"/>
  <c r="O324" i="3"/>
  <c r="O344" i="3"/>
  <c r="O370" i="3"/>
  <c r="O347" i="3"/>
  <c r="O350" i="3"/>
  <c r="O357" i="3"/>
  <c r="O369" i="3"/>
  <c r="O334" i="3"/>
  <c r="O335" i="3"/>
  <c r="O337" i="3"/>
  <c r="O363" i="3"/>
  <c r="O332" i="3"/>
  <c r="O356" i="3"/>
  <c r="O371" i="3"/>
  <c r="O241" i="3"/>
  <c r="O239" i="3"/>
  <c r="O32" i="3"/>
  <c r="O34" i="3"/>
  <c r="O257" i="3"/>
  <c r="O235" i="3"/>
  <c r="O244" i="3"/>
  <c r="O233" i="3"/>
  <c r="O251" i="3"/>
  <c r="O232" i="3"/>
  <c r="O248" i="3"/>
  <c r="O259" i="3"/>
  <c r="O425" i="3"/>
  <c r="O429" i="3"/>
  <c r="O431" i="3"/>
  <c r="O55" i="3"/>
  <c r="O404" i="3"/>
  <c r="O223" i="3"/>
  <c r="O403" i="3"/>
  <c r="O84" i="3"/>
  <c r="O270" i="3"/>
  <c r="O443" i="3"/>
  <c r="O395" i="3"/>
  <c r="O116" i="3"/>
  <c r="O76" i="3"/>
  <c r="O83" i="3"/>
  <c r="O130" i="3"/>
  <c r="O73" i="3"/>
  <c r="O294" i="3"/>
  <c r="O203" i="3"/>
  <c r="O88" i="3"/>
  <c r="O39" i="3"/>
  <c r="O422" i="3"/>
  <c r="O145" i="3"/>
  <c r="O227" i="3"/>
  <c r="O272" i="3"/>
  <c r="O336" i="3"/>
  <c r="O139" i="3"/>
  <c r="O245" i="3"/>
  <c r="O14" i="3"/>
  <c r="O415" i="3"/>
  <c r="O228" i="3"/>
  <c r="O134" i="3"/>
  <c r="O237" i="3"/>
  <c r="O41" i="3"/>
  <c r="O184" i="3"/>
  <c r="O247" i="3"/>
  <c r="O254" i="3"/>
  <c r="O362" i="3"/>
  <c r="O355" i="3"/>
  <c r="O314" i="3"/>
  <c r="O372" i="3"/>
  <c r="O35" i="3"/>
  <c r="O37" i="3"/>
  <c r="O358" i="3"/>
  <c r="O411" i="3"/>
  <c r="O409" i="3"/>
  <c r="O108" i="3"/>
  <c r="O71" i="3"/>
  <c r="O305" i="3"/>
  <c r="O253" i="3"/>
  <c r="O250" i="3"/>
  <c r="O213" i="3"/>
  <c r="O3" i="3"/>
</calcChain>
</file>

<file path=xl/sharedStrings.xml><?xml version="1.0" encoding="utf-8"?>
<sst xmlns="http://schemas.openxmlformats.org/spreadsheetml/2006/main" count="1843" uniqueCount="510">
  <si>
    <t>Station Number</t>
  </si>
  <si>
    <t>Station Name</t>
  </si>
  <si>
    <t>Basin</t>
  </si>
  <si>
    <t>Lat</t>
  </si>
  <si>
    <t>Long</t>
  </si>
  <si>
    <t>State</t>
  </si>
  <si>
    <t>Location Types</t>
  </si>
  <si>
    <t>Elevation (mAHD)</t>
  </si>
  <si>
    <t>1% AEP (EPSG:3577)- Water Level</t>
  </si>
  <si>
    <t>0.5% AEP - Water Level</t>
  </si>
  <si>
    <t>0.2% AEP - Water Level</t>
  </si>
  <si>
    <t>0.066% AEP - Water Level</t>
  </si>
  <si>
    <t>Data Source Quality</t>
  </si>
  <si>
    <t>1% AEP - Water Level Difference</t>
  </si>
  <si>
    <t>1% AEP - Confidence Score</t>
  </si>
  <si>
    <t>Thora (Bellinger River)</t>
  </si>
  <si>
    <t>Bellinger River</t>
  </si>
  <si>
    <t>NSW</t>
  </si>
  <si>
    <t>water level gauge;model point;</t>
  </si>
  <si>
    <t>Bellingen (Bellinger River)</t>
  </si>
  <si>
    <t>Caravan Park (Wooli River)</t>
  </si>
  <si>
    <t>rain gauge;water level gauge;model point;</t>
  </si>
  <si>
    <t>Bowraville Lanes Bridge (Nambucca River)</t>
  </si>
  <si>
    <t>Gleniffer (Never Never Creek)</t>
  </si>
  <si>
    <t>Utungun (Taylors Arm)</t>
  </si>
  <si>
    <t>Macksville (Nambucca River)</t>
  </si>
  <si>
    <t>Kooroowi (Kalang River)</t>
  </si>
  <si>
    <t>Urunga (Kalang River)</t>
  </si>
  <si>
    <t>Newry Island (Kalang River)</t>
  </si>
  <si>
    <t>Repton (Bellinger River)</t>
  </si>
  <si>
    <t>Bowraville Upstream (Nambucca River)</t>
  </si>
  <si>
    <t>Boomi Weir Tm (Macintyre River)</t>
  </si>
  <si>
    <t>Border Rivers</t>
  </si>
  <si>
    <t>Boggabilla (Macintyre River)</t>
  </si>
  <si>
    <t>Terrewah (Macintyre River)</t>
  </si>
  <si>
    <t>Haystack (Beardy River)</t>
  </si>
  <si>
    <t>Bonshaw (Dumaresq River)</t>
  </si>
  <si>
    <t>Roseneath (Dumaresq River)</t>
  </si>
  <si>
    <t>Glenarbon Weir Downstream</t>
  </si>
  <si>
    <t>Kanowna Tm (Macintyre River)</t>
  </si>
  <si>
    <t>Boomi Offtake (Boomi River)</t>
  </si>
  <si>
    <t>Boggabilla Weir D/S (Macintyre River)</t>
  </si>
  <si>
    <t>The Pocket (Marshalls Creek)</t>
  </si>
  <si>
    <t>Brunswick River</t>
  </si>
  <si>
    <t>Lacks Creek (Middle Pocket)</t>
  </si>
  <si>
    <t>Mullumbimby (Brunswick River)</t>
  </si>
  <si>
    <t>Durrumbul (Brunswick River)</t>
  </si>
  <si>
    <t>Mullumbimby Creek (Mullumbimby Ck)</t>
  </si>
  <si>
    <t>Brunswick Heads (Brunswick River)</t>
  </si>
  <si>
    <t>water level gauge;</t>
  </si>
  <si>
    <t>Billinudgel (Marshalls Creek)</t>
  </si>
  <si>
    <t>Mullumbimby Ck (Azalea St Bridge)</t>
  </si>
  <si>
    <t>rain gauge;water level gauge;</t>
  </si>
  <si>
    <t>Lucas Bridge (Castlereagh River)</t>
  </si>
  <si>
    <t>Castlereagh River</t>
  </si>
  <si>
    <t>Gungalman (Castlereagh River)</t>
  </si>
  <si>
    <t>Mendooran (Castlereagh River)</t>
  </si>
  <si>
    <t>Warkton (Belar Creek)</t>
  </si>
  <si>
    <t>Hidden Valley (Castlereagh River)</t>
  </si>
  <si>
    <t>Coonabarabran (Castlereagh River)</t>
  </si>
  <si>
    <t>Binnaway (Castlereagh River)</t>
  </si>
  <si>
    <t>Jackadgery (Mann River)</t>
  </si>
  <si>
    <t>Clarence River</t>
  </si>
  <si>
    <t>Baryulgil (Clarence River)</t>
  </si>
  <si>
    <t>Broadmeadows (Boyd River)</t>
  </si>
  <si>
    <t>Grafton (Clarence River)</t>
  </si>
  <si>
    <t>Copmanhurst (Clarence River)</t>
  </si>
  <si>
    <t>Ulmarra (Clarence River)</t>
  </si>
  <si>
    <t>Glenreagh Bridge (Orara River)</t>
  </si>
  <si>
    <t>Nymboida (Nymboida River)</t>
  </si>
  <si>
    <t>Tabulam (Clarence River)</t>
  </si>
  <si>
    <t>Mitchell (Mann River)</t>
  </si>
  <si>
    <t>Lilydale (Clarence River)</t>
  </si>
  <si>
    <t>Drake (Timbarra River)</t>
  </si>
  <si>
    <t>Maclean (Clarence River)</t>
  </si>
  <si>
    <t>Yamba Tide Gauge</t>
  </si>
  <si>
    <t>water level gauge;model point;tide gauge;</t>
  </si>
  <si>
    <t>Karangi (Orara River)</t>
  </si>
  <si>
    <t>Glenreagh (Orara River)</t>
  </si>
  <si>
    <t>Lake Conjola</t>
  </si>
  <si>
    <t>Clyde River-Jervis Bay</t>
  </si>
  <si>
    <t>Sussex Inlet</t>
  </si>
  <si>
    <t>Tomerong Creek</t>
  </si>
  <si>
    <t>Lake Tabourie</t>
  </si>
  <si>
    <t>Gravesend Rd Bdg (Gwydir River)</t>
  </si>
  <si>
    <t>Gwydir River</t>
  </si>
  <si>
    <t>Pallamallawa (Gwydir River)</t>
  </si>
  <si>
    <t>Moree (Mehi River)</t>
  </si>
  <si>
    <t>Yarraman Bridge (Gwydir River)</t>
  </si>
  <si>
    <t>Chinook (Mehi River)</t>
  </si>
  <si>
    <t>Pinegrove (Gwydir)</t>
  </si>
  <si>
    <t>Rider (Horton River)</t>
  </si>
  <si>
    <t>Bingara (Halls Ck)</t>
  </si>
  <si>
    <t>Horton Dam Site (Horton River)</t>
  </si>
  <si>
    <t>Copeton Dam D/S (Gwydir River)</t>
  </si>
  <si>
    <t>Yarrowyck (Gwydir River)</t>
  </si>
  <si>
    <t>Bundarra (Gwydir River)</t>
  </si>
  <si>
    <t>Kimberley (Copes Creek)</t>
  </si>
  <si>
    <t>Molroy (Myall Creek)</t>
  </si>
  <si>
    <t>Kindee Bridge (Hastings River)</t>
  </si>
  <si>
    <t>Hastings River</t>
  </si>
  <si>
    <t>Wauchope Rwy Br (Hastings River)</t>
  </si>
  <si>
    <t>Settlement Point (Hastings River)</t>
  </si>
  <si>
    <t>Beechwood (Pappinbarra Creek)</t>
  </si>
  <si>
    <t>Bunnoo River D/S (Ellenborough River)</t>
  </si>
  <si>
    <t>Mt Seaview (Hastings River)</t>
  </si>
  <si>
    <t>Green Valley (Maria River)</t>
  </si>
  <si>
    <t>Upsalls Creek Bridge (Upsalls Creek)</t>
  </si>
  <si>
    <t>Telegraph Pt (Wilson River)</t>
  </si>
  <si>
    <t>Redoak (Stewarts River)</t>
  </si>
  <si>
    <t>Long Flat (Hastings River)</t>
  </si>
  <si>
    <t>Logans Crossing (Camden Haven River)</t>
  </si>
  <si>
    <t>Laurieton (Mill Street)</t>
  </si>
  <si>
    <t>Koree Island (Hastings River)</t>
  </si>
  <si>
    <t>rain gauge;water level gauge; ,model point</t>
  </si>
  <si>
    <t>Lorne Bridge (Camden Haven River)</t>
  </si>
  <si>
    <t>Birdwood (Forbes River)</t>
  </si>
  <si>
    <t>Avenal (Wilson River)</t>
  </si>
  <si>
    <t>North Haven</t>
  </si>
  <si>
    <t>Mundays Lane (Maria River)</t>
  </si>
  <si>
    <t>St Albans (Macdonald River)</t>
  </si>
  <si>
    <t>Hawkesbury River</t>
  </si>
  <si>
    <t>Sackville (Hawkesbury River)</t>
  </si>
  <si>
    <t>Wallacia Weir (Nepean River)</t>
  </si>
  <si>
    <t>Lower Portland (Hawkesbury River)</t>
  </si>
  <si>
    <t>Greenstead (Wingecarribee River)</t>
  </si>
  <si>
    <t>Webbs Ck-Wisemans Ferry (Hawkesbury River)</t>
  </si>
  <si>
    <t>Howes Valley (Macdonald River)</t>
  </si>
  <si>
    <t>Spencer</t>
  </si>
  <si>
    <t>Gunderman Caravan Park (Hawkesbury River)</t>
  </si>
  <si>
    <t>Kelpie Point (Coxs River)</t>
  </si>
  <si>
    <t>Ebenezer (Hawkesbury River)</t>
  </si>
  <si>
    <t>Freemans Reach (Hawkesbury River)</t>
  </si>
  <si>
    <t>Pheasants Nest (Nepean River)</t>
  </si>
  <si>
    <t>Grose Wold (Burralow)</t>
  </si>
  <si>
    <t>Upper Colo Swc (Colo River)</t>
  </si>
  <si>
    <t>Cedar Ford (Kowmung River)</t>
  </si>
  <si>
    <t>Lithgow (Coxs River)</t>
  </si>
  <si>
    <t>Glen Davis (Capertee River)</t>
  </si>
  <si>
    <t>Yarramundi (Nepean River)</t>
  </si>
  <si>
    <t>Island Hill (Coxs River)</t>
  </si>
  <si>
    <t>Windsor Pwd (Hawkesbury River)</t>
  </si>
  <si>
    <t>Castlereagh (Nepean River)</t>
  </si>
  <si>
    <t>Penrith (Nepean River)</t>
  </si>
  <si>
    <t>Sackville</t>
  </si>
  <si>
    <t>rain gauge;water level gauge; repeater</t>
  </si>
  <si>
    <t>South Creek (Elizabeth Drive)</t>
  </si>
  <si>
    <t>South Creek (Gt Western Highway)</t>
  </si>
  <si>
    <t>North Richmond Wps (Hawkesbury River)</t>
  </si>
  <si>
    <t>Smallwoods Crossing (Nattai River)</t>
  </si>
  <si>
    <t>Jooriland (Wollondilly River)</t>
  </si>
  <si>
    <t>Mount Hunter (Nepean River)</t>
  </si>
  <si>
    <t>Golden Valley (Wollondilly River)</t>
  </si>
  <si>
    <t>Camden Weir (Nepean River)</t>
  </si>
  <si>
    <t>Broughtons Pass (Cataract River)</t>
  </si>
  <si>
    <t>Menangle Weir (Nepean River)</t>
  </si>
  <si>
    <t>Warragamba Weir (Warragamba River)</t>
  </si>
  <si>
    <t>Maldon Weir (Nepean River)</t>
  </si>
  <si>
    <t>Murrays Flat (Wollondilly River)</t>
  </si>
  <si>
    <t>Glenbawn Dam D/S</t>
  </si>
  <si>
    <t>Hunter River</t>
  </si>
  <si>
    <t>Dungog (Williams River)</t>
  </si>
  <si>
    <t>Maitland Belmore Bridge (Hunter River)</t>
  </si>
  <si>
    <t>Mill Dam Falls (Williams River)</t>
  </si>
  <si>
    <t>Bulga (Wollombi Brook)</t>
  </si>
  <si>
    <t>Gundy (Pages River)</t>
  </si>
  <si>
    <t>Gostwyck Bridge (Paterson River)</t>
  </si>
  <si>
    <t>Scone (Kingdon Ponds)</t>
  </si>
  <si>
    <t>Blandford (Pages River)</t>
  </si>
  <si>
    <t>Parkville (Kingdon Ponds)</t>
  </si>
  <si>
    <t>Kerrabee (Goulburn River)</t>
  </si>
  <si>
    <t>Morpeth (Hunter River)</t>
  </si>
  <si>
    <t>Moonan Dam Site (Hunter River)</t>
  </si>
  <si>
    <t>Muswellbrook (Hunter River)</t>
  </si>
  <si>
    <t>Warkworth (Wollombi Brook)</t>
  </si>
  <si>
    <t>water level gauge; model point</t>
  </si>
  <si>
    <t>Rouchel Brook (Rouchel Brook)</t>
  </si>
  <si>
    <t>Sandy Hollow (Goulburn River)</t>
  </si>
  <si>
    <t>Wybong (Wybong Creek)</t>
  </si>
  <si>
    <t>Singleton (Hunter River)</t>
  </si>
  <si>
    <t>Lostock Dam D/S (Paterson River)</t>
  </si>
  <si>
    <t>Middle Falbrook (Fal Brook)</t>
  </si>
  <si>
    <t>Denman (Hunter River)</t>
  </si>
  <si>
    <t>Greta (Hunter River)</t>
  </si>
  <si>
    <t>Liddell Pump Stn (Hunter River)</t>
  </si>
  <si>
    <t>Yarrandi Bridge (Dart Brook)</t>
  </si>
  <si>
    <t>Halton (Allyn River)</t>
  </si>
  <si>
    <t>Vacy (Paterson River)</t>
  </si>
  <si>
    <t>Green Rocks (Hunter River)</t>
  </si>
  <si>
    <t>Hinton Bridge (Paterson River)</t>
  </si>
  <si>
    <t>Aberdeen (Hunter River)</t>
  </si>
  <si>
    <t>Paterson D/S Railway Br (Paterson River)</t>
  </si>
  <si>
    <t>Tilligra (Williams River)</t>
  </si>
  <si>
    <t>Raymond Terrace (Hunter River)</t>
  </si>
  <si>
    <t>Oakhampton Bridge (Hunter River)</t>
  </si>
  <si>
    <t>Belltrees (Hunter River)</t>
  </si>
  <si>
    <t>The Rocks No.2 (Glemmies Ck)</t>
  </si>
  <si>
    <t>Rothbury (Black Ck )</t>
  </si>
  <si>
    <t>U/S Foy Brook (Hunter River)</t>
  </si>
  <si>
    <t>U/S Glennies Ck (Hunter River)</t>
  </si>
  <si>
    <t>Maison Dieu (Hunter River)</t>
  </si>
  <si>
    <t>U/S Singleton (Hunter River)</t>
  </si>
  <si>
    <t>Long Point (Hunter River)</t>
  </si>
  <si>
    <t>Brickmans Bridge D/S (Wollombi Brook)</t>
  </si>
  <si>
    <t>Chichester (Chichester River)</t>
  </si>
  <si>
    <t>Wingen</t>
  </si>
  <si>
    <t>U/S Vallance (Merriwa River)</t>
  </si>
  <si>
    <t>Pages River U/S Kewell Creek</t>
  </si>
  <si>
    <t>Isis River At Stick-Me-Up Bridge</t>
  </si>
  <si>
    <t>Laguna (Wollombi Brook)</t>
  </si>
  <si>
    <t>Millfield (Congewai Creek)</t>
  </si>
  <si>
    <t>rain gauge;water level gauge;model point</t>
  </si>
  <si>
    <t>Wollombi (Wollombi Brook)</t>
  </si>
  <si>
    <t>Doctors Point</t>
  </si>
  <si>
    <t>Kiewa River</t>
  </si>
  <si>
    <t>Cowra (Lachlan River)</t>
  </si>
  <si>
    <t>Lachlan River</t>
  </si>
  <si>
    <t>Toogong (Glenayr)</t>
  </si>
  <si>
    <t>Forbes Iron Bridge (Lachlan River)</t>
  </si>
  <si>
    <t>Eugowra (Smithfield)</t>
  </si>
  <si>
    <t>Narrawa (Lachlan River)</t>
  </si>
  <si>
    <t>Booligal Weir (Lachlan River)</t>
  </si>
  <si>
    <t>Condobolin Bridge (Lachlan River)</t>
  </si>
  <si>
    <t>The Needles (Belubula River)</t>
  </si>
  <si>
    <t>Hadley No 2 (Abercrombie River)</t>
  </si>
  <si>
    <t>Abercrombie No 2 (Abercrombie River)</t>
  </si>
  <si>
    <t>Wyangala Dam</t>
  </si>
  <si>
    <t>Carcoar Dam D/S (Belubula River)</t>
  </si>
  <si>
    <t>Jemalong Weir D/S (Lachlan River)</t>
  </si>
  <si>
    <t>Cottons Weir (Lachlan River)</t>
  </si>
  <si>
    <t>Nanami (Lachlan River)</t>
  </si>
  <si>
    <t>Canowindra U/S (Belubula River)</t>
  </si>
  <si>
    <t>Prossers Crossing (Boorowa River)</t>
  </si>
  <si>
    <t>Dudauman (Wattle Creek)</t>
  </si>
  <si>
    <t>Lake Cargelligo</t>
  </si>
  <si>
    <t>Hillston Weir (Lachlan River)</t>
  </si>
  <si>
    <t>Tia (Tia River)</t>
  </si>
  <si>
    <t>Macleay River</t>
  </si>
  <si>
    <t>Kogal (Nulla Nulla Ck)</t>
  </si>
  <si>
    <t>Bellbrook (Macleay River)</t>
  </si>
  <si>
    <t>Wittitrin (Dungay Creek)</t>
  </si>
  <si>
    <t>Kempsey Rd Bridge (Macleay River)</t>
  </si>
  <si>
    <t>Moparrabah (Parrabel Creek)</t>
  </si>
  <si>
    <t>Dangars Falls (Macleay River)</t>
  </si>
  <si>
    <t>Kirby Farm (Pipeclay Creek)</t>
  </si>
  <si>
    <t>Armidale-Stephens Bridge (Dumaresq Creek)</t>
  </si>
  <si>
    <t>Castle Doyle (Commissioners Waters)</t>
  </si>
  <si>
    <t>Dumaresq Dam D/S (Dumaresq Creek)</t>
  </si>
  <si>
    <t>Georges Creek (Macleay River)</t>
  </si>
  <si>
    <t>Jeogla (Styx River)</t>
  </si>
  <si>
    <t>Coninside (Wollomombi River)</t>
  </si>
  <si>
    <t>Apsley R At Apsley Falls</t>
  </si>
  <si>
    <t>Apsley Gorge (Apsley River)</t>
  </si>
  <si>
    <t>Turners Flat (Macleay River)</t>
  </si>
  <si>
    <t>Belmore River Entrance</t>
  </si>
  <si>
    <t>Kinchela Creek (Macleay River)</t>
  </si>
  <si>
    <t>Belmore River U/S Floodgates</t>
  </si>
  <si>
    <t>Seven Oaks (Macleay River)</t>
  </si>
  <si>
    <t>Toorooka (Macleay River)</t>
  </si>
  <si>
    <t>Smithtown</t>
  </si>
  <si>
    <t>Sherwood Bridge (Macleay River)</t>
  </si>
  <si>
    <t>Third Lane (Macleay River)</t>
  </si>
  <si>
    <t>Aldavilla D/S (Macleay River)</t>
  </si>
  <si>
    <t>Carinda (Macquarie River)</t>
  </si>
  <si>
    <t>Macquarie-Bogan Rivers</t>
  </si>
  <si>
    <t>Warren Town (Macquarie River)</t>
  </si>
  <si>
    <t>Oxley Station (Macquarie River)</t>
  </si>
  <si>
    <t>Nyngan (Bogan River)</t>
  </si>
  <si>
    <t>Bathurst Stanley Street (Macquarie River)</t>
  </si>
  <si>
    <t>Tarana (Fish River)</t>
  </si>
  <si>
    <t>Campbells River (Upstream Chifley)</t>
  </si>
  <si>
    <t>Wollombi (Macquarie River)</t>
  </si>
  <si>
    <t>Pilligawarrina (Macquarie River)</t>
  </si>
  <si>
    <t>Gongolgon (Bogan River)</t>
  </si>
  <si>
    <t>Peak Hill (Bogan River)</t>
  </si>
  <si>
    <t>Monkey Bridge (Bogan River)</t>
  </si>
  <si>
    <t>Dandaloo (Bogan River)</t>
  </si>
  <si>
    <t>Gin Gin Weir (Macquarie River)</t>
  </si>
  <si>
    <t>Neurie Plains (Bogan River)</t>
  </si>
  <si>
    <t>Marebone D/S (Macquarie River)</t>
  </si>
  <si>
    <t>Baroona (Macquarie River)</t>
  </si>
  <si>
    <t>Warren Weir (Macquarie River)</t>
  </si>
  <si>
    <t>Duck Ck At Napali</t>
  </si>
  <si>
    <t>Burrendong Dam D/S (Macquarie River)</t>
  </si>
  <si>
    <t>Neurea (Bell R)</t>
  </si>
  <si>
    <t>D/S Borenore Ck (Molong Ck )</t>
  </si>
  <si>
    <t>Molong (Bell River)</t>
  </si>
  <si>
    <t>Orange (Kite St)</t>
  </si>
  <si>
    <t>Georges Plains (Queen Charlotte Creek)</t>
  </si>
  <si>
    <t>White Rock (Macquarie River)</t>
  </si>
  <si>
    <t>Orange (Dalton St Bridge)</t>
  </si>
  <si>
    <t>Elong Elong (Talbragar River)</t>
  </si>
  <si>
    <t>Dubbo (Macquarie River)</t>
  </si>
  <si>
    <t>Wellington Bridge (Macquarie River)</t>
  </si>
  <si>
    <t>Obley (Little River)</t>
  </si>
  <si>
    <t>Rawsonville (Coolbaggie Creek)</t>
  </si>
  <si>
    <t>Gowan Green (Bell River)</t>
  </si>
  <si>
    <t>Kalang Rd (Dora Creek)</t>
  </si>
  <si>
    <t>Macquarie-Tuggerah Lakes</t>
  </si>
  <si>
    <t>Marmong Point</t>
  </si>
  <si>
    <t>Belmont (Lake Macquarie)</t>
  </si>
  <si>
    <t>Cooranbong (Dora Creek)</t>
  </si>
  <si>
    <t>Wentworth Lock 10 (Murray River)</t>
  </si>
  <si>
    <t>Mallee</t>
  </si>
  <si>
    <t>Murray River @ Mildura Weir Hg</t>
  </si>
  <si>
    <t>VIC</t>
  </si>
  <si>
    <t>Mount George (Manning River)</t>
  </si>
  <si>
    <t>Manning River</t>
  </si>
  <si>
    <t>Rocks Crossing (Nowendoc River)</t>
  </si>
  <si>
    <t>Taree (Manning River)</t>
  </si>
  <si>
    <t>Wingham (Manning River)</t>
  </si>
  <si>
    <t>Killawarra (Manning River)</t>
  </si>
  <si>
    <t>Bretti-Mackay (Barnard River)</t>
  </si>
  <si>
    <t>Forbesdale (Barrington River)</t>
  </si>
  <si>
    <t>Doon Ayr (Gloucester River)</t>
  </si>
  <si>
    <t>Croki Wharf (Manning River)</t>
  </si>
  <si>
    <t>Harrington Entrance (Manning River)</t>
  </si>
  <si>
    <t>Nowendoc (Nowendoc River)</t>
  </si>
  <si>
    <t>Lansdowne (Lansdowne River)</t>
  </si>
  <si>
    <t>Avon River Downstream (Waukivory Creek)</t>
  </si>
  <si>
    <t>Forbesdale (Gloucester River)</t>
  </si>
  <si>
    <t>Gloucester (Gloucester River)</t>
  </si>
  <si>
    <t>Ashlea Bridge D/S (Dingo Creek)</t>
  </si>
  <si>
    <t>D/S Yarrawonga</t>
  </si>
  <si>
    <t>Murray-Riverina</t>
  </si>
  <si>
    <t>Murray River At Swan Hill</t>
  </si>
  <si>
    <t>Murray River @ Below Wakool Junction</t>
  </si>
  <si>
    <t>Murray River @ Boundary Bend</t>
  </si>
  <si>
    <t>Albury (Murray River)</t>
  </si>
  <si>
    <t>Heywoods Hume Dam</t>
  </si>
  <si>
    <t>Murray River @ Torrumbarry</t>
  </si>
  <si>
    <t>Murray River @ Tocumwal</t>
  </si>
  <si>
    <t>Deniliquin (Edward River)</t>
  </si>
  <si>
    <t>Stevens Weir D/S (Edward River)</t>
  </si>
  <si>
    <t>Barham (Murray River)</t>
  </si>
  <si>
    <t>Moulamein (Edward River)</t>
  </si>
  <si>
    <t>Stoney Crossing (Wakool River)</t>
  </si>
  <si>
    <t>Corowa (Murray R)</t>
  </si>
  <si>
    <t>Oddys Bridge (Tumut River)</t>
  </si>
  <si>
    <t>Murrumbidgee River</t>
  </si>
  <si>
    <t>Burrinjuck Dam D/S (Murrumbidgee River)</t>
  </si>
  <si>
    <t>Gundagai (Murrumbidgee River)</t>
  </si>
  <si>
    <t>Carrathool (Murrumbidgee River)</t>
  </si>
  <si>
    <t>Balranald Weir D/S (Murrumbidgee River)</t>
  </si>
  <si>
    <t>Lobbs Hole (Murrumbidgee River)</t>
  </si>
  <si>
    <t>Yass (Yass River)</t>
  </si>
  <si>
    <t>Billilingra (Murrumbidgee River)</t>
  </si>
  <si>
    <t>Mt Macdonald (Murrumbidgee River)</t>
  </si>
  <si>
    <t>Cooma Smec (Cooma Back Creek)</t>
  </si>
  <si>
    <t>Koolaroo (Cooma Creek)</t>
  </si>
  <si>
    <t>Lacmalac (Goobarragandra River)</t>
  </si>
  <si>
    <t>Old Borambola (Tarcutta Creek)</t>
  </si>
  <si>
    <t>Tumut (Tumut River)</t>
  </si>
  <si>
    <t>Wagga Wagga (Murrumbidgee River)</t>
  </si>
  <si>
    <t>Eringoarrah (Murrumbidgee River)</t>
  </si>
  <si>
    <t>Darbalara (Adjungbilly River)</t>
  </si>
  <si>
    <t>Coolac (Muttama Creek)</t>
  </si>
  <si>
    <t>Wee Jasper (Goodradigbee River)</t>
  </si>
  <si>
    <t>Jugiong (Jugiong Creek)</t>
  </si>
  <si>
    <t>Jindalee (Jindalee Creek)</t>
  </si>
  <si>
    <t>Murrumbidgee R At Glendale</t>
  </si>
  <si>
    <t>Berthong Road (Muttama Creek)</t>
  </si>
  <si>
    <t>Narrandera (Murrumbidgee River)</t>
  </si>
  <si>
    <t>Hay Weir D/S (Murrumbidgee River)</t>
  </si>
  <si>
    <t>Darlington Pt (Murrumbidgee River)</t>
  </si>
  <si>
    <t>East Mirrool Regulator (Mirrool Creek)</t>
  </si>
  <si>
    <t>Narrabri (Bohena Creek)</t>
  </si>
  <si>
    <t>Namoi River</t>
  </si>
  <si>
    <t>Glencoe Wee Waa (Namoi River)</t>
  </si>
  <si>
    <t>Narrabri (Narrabri Creek)</t>
  </si>
  <si>
    <t>Manilla Rly Bridge (Namoi River)</t>
  </si>
  <si>
    <t>Carrol Gap (Peel River)</t>
  </si>
  <si>
    <t>Keepit Dam D/S (Namoi River)</t>
  </si>
  <si>
    <t>Tamworth Road Bridge (Peel River)</t>
  </si>
  <si>
    <t>Breeza Station (Mooki River)</t>
  </si>
  <si>
    <t>Goonoo Goonoo (Goonoo Goonoo Creek)</t>
  </si>
  <si>
    <t>Piallamore (Peel River)</t>
  </si>
  <si>
    <t>Mulla Crossing (Cockburn River)</t>
  </si>
  <si>
    <t>Bugilbone (Namoi River)</t>
  </si>
  <si>
    <t>Waminda (Pian Creek)</t>
  </si>
  <si>
    <t>Rossmore (Pian Creek)</t>
  </si>
  <si>
    <t>Goangra (Namoi River)</t>
  </si>
  <si>
    <t>Weeta Weir W/L (Namoi River)</t>
  </si>
  <si>
    <t>Walgett U/S (Namoi R)</t>
  </si>
  <si>
    <t>Mollee Weir (Namoi River)</t>
  </si>
  <si>
    <t>Gunidgera Weir D/S (Namoi River)</t>
  </si>
  <si>
    <t>Gunidgera Offtake (Namoi River)</t>
  </si>
  <si>
    <t>Weeta Weir D/S (Namoi River)</t>
  </si>
  <si>
    <t>Tharlane (Brigalow Creek)</t>
  </si>
  <si>
    <t>Turrawan (Wallah)</t>
  </si>
  <si>
    <t>Woodsreef (Ironbark Creek)</t>
  </si>
  <si>
    <t>Black Springs (Manilla River)</t>
  </si>
  <si>
    <t>Gunnedah (Namoi River)</t>
  </si>
  <si>
    <t>Keepit Dam W/L (Namoi River)</t>
  </si>
  <si>
    <t>Split Rock Dam Wl (Manilla River)</t>
  </si>
  <si>
    <t>North Cuerindi (Macdonald River)</t>
  </si>
  <si>
    <t>Boggabri (Namoi River)</t>
  </si>
  <si>
    <t>Caroona (Mooki River)</t>
  </si>
  <si>
    <t>Chaffey Dam D/S (Peel River)</t>
  </si>
  <si>
    <t>Tambar Springs (Coxs Creek)</t>
  </si>
  <si>
    <t>Taroona (Peel River)</t>
  </si>
  <si>
    <t>Split Rock Dam D/S (Manilla River)</t>
  </si>
  <si>
    <t>Chaffey Dam W/L (Peel River)</t>
  </si>
  <si>
    <t>Boggabri (Coxs Creek)</t>
  </si>
  <si>
    <t>Appleby (Peel River)</t>
  </si>
  <si>
    <t>Old Warrah (Warrah Creek)</t>
  </si>
  <si>
    <t>Bective (Peel River)</t>
  </si>
  <si>
    <t>Bomera Creek (Bomera Creek)</t>
  </si>
  <si>
    <t>Upper Manilla (Manilla River)</t>
  </si>
  <si>
    <t>Bundella (Bundella Creek)</t>
  </si>
  <si>
    <t>Ruvigne (Mooki River)</t>
  </si>
  <si>
    <t>Ukolan (Halls Creek)</t>
  </si>
  <si>
    <t>Carroll Village (Namoi River)</t>
  </si>
  <si>
    <t>Macdonald R At Retreat</t>
  </si>
  <si>
    <t>Maules Ck At Avoca East</t>
  </si>
  <si>
    <t>Nundle (Pearly Gates)</t>
  </si>
  <si>
    <t>Medows Lane (Goonoo Goonoo Ck)</t>
  </si>
  <si>
    <t>Kootingal (Cockburn River)</t>
  </si>
  <si>
    <t>Paradise Weir (Peel River)</t>
  </si>
  <si>
    <t>Woolbrook (Macdonald River)</t>
  </si>
  <si>
    <t>Willara Crossing (Paroo River)</t>
  </si>
  <si>
    <t>Paroo River</t>
  </si>
  <si>
    <t>Woodburn (Cedar St)</t>
  </si>
  <si>
    <t>Richmond River</t>
  </si>
  <si>
    <t>The Channon</t>
  </si>
  <si>
    <t>Nashua (Wilsons River)</t>
  </si>
  <si>
    <t>Coraki (Richmond River)</t>
  </si>
  <si>
    <t>Lismore (Wilson River)</t>
  </si>
  <si>
    <t>Nimbin (Goolmangar Creek)</t>
  </si>
  <si>
    <t>Bungawalbin Junction (Richmond River)</t>
  </si>
  <si>
    <t>Rock Valley (Leycester Creek)</t>
  </si>
  <si>
    <t>Eltham (Wilsons Creek)</t>
  </si>
  <si>
    <t>Tuncester (Leycester Creek)</t>
  </si>
  <si>
    <t>Bentley (Back Creek)</t>
  </si>
  <si>
    <t>Corndale (Coopers Creek)</t>
  </si>
  <si>
    <t>Repentance (Coopers Creek)</t>
  </si>
  <si>
    <t>Wiangaree Bridge (Richmond River)</t>
  </si>
  <si>
    <t>Kyogle (Richmond River)</t>
  </si>
  <si>
    <t>Woodlawn (Wilsons River)</t>
  </si>
  <si>
    <t>Casino-Dwr Tm (Richmond River)</t>
  </si>
  <si>
    <t>Rappville Tm (Myrtle Creek)</t>
  </si>
  <si>
    <t>Eden Ck At Doubtful</t>
  </si>
  <si>
    <t>Shannon Brook At Yorklea</t>
  </si>
  <si>
    <t>Iron Pot Ck At Toonumbar W/L</t>
  </si>
  <si>
    <t>Byrnes Point</t>
  </si>
  <si>
    <t>East Gundurimba</t>
  </si>
  <si>
    <t>Goolmangar (Goolmangar Creek)</t>
  </si>
  <si>
    <t>Tuckurimba (Baxter Lane)</t>
  </si>
  <si>
    <t>Hampden Bridge (Kangaroo River)</t>
  </si>
  <si>
    <t>Shoalhaven River</t>
  </si>
  <si>
    <t>Nowra Boat Shed (Shoalhaven River)</t>
  </si>
  <si>
    <t>Terara (Shoalhaven River)</t>
  </si>
  <si>
    <t>Fossickers Flat (Shoalhaven River)</t>
  </si>
  <si>
    <t>Grassy Gully (Shoalhaven River)</t>
  </si>
  <si>
    <t>Hillview (Shoalhaven River)</t>
  </si>
  <si>
    <t>Danjera Dam (Danjera Creek)</t>
  </si>
  <si>
    <t>Mongarlowe (Mongarlowe River)</t>
  </si>
  <si>
    <t>Mountview (Shoalhaven River)</t>
  </si>
  <si>
    <t>Shoalhaven R At Warri</t>
  </si>
  <si>
    <t>Snowy River @ Burnt Hut Crossing</t>
  </si>
  <si>
    <t>Snowy River</t>
  </si>
  <si>
    <t>Delegate River At Quidong</t>
  </si>
  <si>
    <t>Snowy River At D/S Basin Creek</t>
  </si>
  <si>
    <t>Snowy River At Mckillops Bridge</t>
  </si>
  <si>
    <t>Bombala (Bombala River)</t>
  </si>
  <si>
    <t>Mclaughlin River At The Hut</t>
  </si>
  <si>
    <t>Suggan Buggan River At Suggan Buggan</t>
  </si>
  <si>
    <t>Snowy River At Jarrahmond</t>
  </si>
  <si>
    <t>Snowy River At Orbost</t>
  </si>
  <si>
    <t>Buchan River At Buchan</t>
  </si>
  <si>
    <t>Brodribb River At Sardine Creek</t>
  </si>
  <si>
    <t>Milperra Bridge (Georges River)</t>
  </si>
  <si>
    <t>Sydney Coast-Georges River</t>
  </si>
  <si>
    <t>Woronora Dam</t>
  </si>
  <si>
    <t>Canterbury Road</t>
  </si>
  <si>
    <t>Picnic Point (Georges River)</t>
  </si>
  <si>
    <t>Tempe Bridge (Cooks River)</t>
  </si>
  <si>
    <t>Liverpool-Scrivener St (Georges River)</t>
  </si>
  <si>
    <t>Lansvale-Cutler Rd (Georges River)</t>
  </si>
  <si>
    <t>Woronora Bridge (Woronora River)</t>
  </si>
  <si>
    <t>Liverpool Weir U/S (Georges River)</t>
  </si>
  <si>
    <t>The Needles (Woronora River)</t>
  </si>
  <si>
    <t>Ingleburn Weir (Georges River)</t>
  </si>
  <si>
    <t>Minto Heights (Georges River)</t>
  </si>
  <si>
    <t>Smithfield Rd (Prospect Creek)</t>
  </si>
  <si>
    <t>Kelso Creek D/S Levee (Georges River)</t>
  </si>
  <si>
    <t>Irelands Bridge (Cabramatta Creek)</t>
  </si>
  <si>
    <t>Lansdowne Bridge (Prospect Creek)</t>
  </si>
  <si>
    <t>Orange Grove Rd (Cabramatta Ck)</t>
  </si>
  <si>
    <t>Railway Parade (Bunbury Curran Ck)</t>
  </si>
  <si>
    <t>Orphan School Ck At Sackville Rd</t>
  </si>
  <si>
    <t>Redfern Rd (Bow Bowing Creek)</t>
  </si>
  <si>
    <t>Chillingham</t>
  </si>
  <si>
    <t>Tweed River</t>
  </si>
  <si>
    <t>Uki (Tweed River)</t>
  </si>
  <si>
    <t>North Murwillumbah (Tweed River)</t>
  </si>
  <si>
    <t>Eungella (Oxley River)</t>
  </si>
  <si>
    <t>Boat Harbour (Rous River)</t>
  </si>
  <si>
    <t>rain gauge;water level gauge; model point</t>
  </si>
  <si>
    <t>Clarrie Hall Dam D/S</t>
  </si>
  <si>
    <t>Chinderah (Tweed River)</t>
  </si>
  <si>
    <t>Tumbulgum (Tweed River)</t>
  </si>
  <si>
    <t>Palmers Road</t>
  </si>
  <si>
    <t>Dry Dock (Terranora Inlet)</t>
  </si>
  <si>
    <t>Letitia 2a</t>
  </si>
  <si>
    <t>Kynnumboon</t>
  </si>
  <si>
    <t>Murwillumbah Bridge</t>
  </si>
  <si>
    <t>Boat Harbour (Nobbys Creek)</t>
  </si>
  <si>
    <t>Tyalgum Bridge (Tyalgum River)</t>
  </si>
  <si>
    <t>Barneys Point (Tweed River)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</si>
</sst>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3FA7C-ED16-412F-883C-FEE234F1F8FC}">
  <sheetPr filterMode="1"/>
  <dimension ref="A1:O530"/>
  <sheetViews>
    <sheetView tabSelected="1" topLeftCell="D1" workbookViewId="0">
      <selection activeCell="O465" sqref="O465"/>
    </sheetView>
  </sheetViews>
  <sheetFormatPr defaultRowHeight="15"/>
  <cols>
    <col min="1" max="1" width="19.85546875" style="3" bestFit="1" customWidth="1"/>
    <col min="2" max="2" width="42.7109375" style="3" bestFit="1" customWidth="1"/>
    <col min="3" max="3" width="25.5703125" style="3" bestFit="1" customWidth="1"/>
    <col min="4" max="4" width="8.7109375" style="3" bestFit="1" customWidth="1"/>
    <col min="5" max="5" width="9.85546875" style="3" bestFit="1" customWidth="1"/>
    <col min="6" max="6" width="10.28515625" style="3" bestFit="1" customWidth="1"/>
    <col min="7" max="7" width="39" style="3" bestFit="1" customWidth="1"/>
    <col min="8" max="8" width="21.85546875" style="3" bestFit="1" customWidth="1"/>
    <col min="9" max="9" width="17.140625" style="3" bestFit="1" customWidth="1"/>
    <col min="10" max="11" width="16.28515625" style="3" bestFit="1" customWidth="1"/>
    <col min="12" max="12" width="16.7109375" style="3" bestFit="1" customWidth="1"/>
    <col min="13" max="13" width="16.42578125" style="3" bestFit="1" customWidth="1"/>
    <col min="14" max="14" width="16.28515625" style="3" bestFit="1" customWidth="1"/>
    <col min="15" max="15" width="16.140625" style="3" bestFit="1" customWidth="1"/>
    <col min="16" max="16384" width="9.140625" style="3"/>
  </cols>
  <sheetData>
    <row r="1" spans="1:1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3">
        <v>59121</v>
      </c>
      <c r="B2" s="3" t="s">
        <v>15</v>
      </c>
      <c r="C2" s="3" t="s">
        <v>16</v>
      </c>
      <c r="D2" s="3">
        <v>-30.425000000000001</v>
      </c>
      <c r="E2" s="3">
        <v>152.78059999999999</v>
      </c>
      <c r="F2" s="3" t="s">
        <v>17</v>
      </c>
      <c r="G2" s="3" t="s">
        <v>18</v>
      </c>
      <c r="H2" s="3">
        <v>27.81</v>
      </c>
      <c r="I2" s="3">
        <v>32.799999999999997</v>
      </c>
      <c r="J2" s="3">
        <v>33.520000000000003</v>
      </c>
      <c r="K2" s="3">
        <v>34.229999999999997</v>
      </c>
      <c r="L2" s="3">
        <v>34.93</v>
      </c>
      <c r="M2" s="3">
        <v>3</v>
      </c>
      <c r="N2" s="3">
        <v>2</v>
      </c>
      <c r="O2" s="3">
        <v>6</v>
      </c>
    </row>
    <row r="3" spans="1:15">
      <c r="A3" s="3">
        <v>59126</v>
      </c>
      <c r="B3" s="3" t="s">
        <v>19</v>
      </c>
      <c r="C3" s="3" t="s">
        <v>16</v>
      </c>
      <c r="D3" s="3">
        <v>-30.451699999999999</v>
      </c>
      <c r="E3" s="3">
        <v>152.89830000000001</v>
      </c>
      <c r="F3" s="3" t="s">
        <v>17</v>
      </c>
      <c r="G3" s="3" t="s">
        <v>18</v>
      </c>
      <c r="H3" s="3">
        <v>12.18</v>
      </c>
      <c r="M3" s="3">
        <v>3</v>
      </c>
      <c r="N3" s="3">
        <v>1</v>
      </c>
      <c r="O3" s="3">
        <f>M3*N3</f>
        <v>3</v>
      </c>
    </row>
    <row r="4" spans="1:15">
      <c r="A4" s="3">
        <v>558060</v>
      </c>
      <c r="B4" s="3" t="s">
        <v>20</v>
      </c>
      <c r="C4" s="3" t="s">
        <v>16</v>
      </c>
      <c r="D4" s="3">
        <v>-29.851700000000001</v>
      </c>
      <c r="E4" s="3">
        <v>153.25299999999999</v>
      </c>
      <c r="F4" s="3" t="s">
        <v>17</v>
      </c>
      <c r="G4" s="3" t="s">
        <v>21</v>
      </c>
      <c r="H4" s="3">
        <v>0.25</v>
      </c>
      <c r="I4" s="3">
        <v>2.66</v>
      </c>
      <c r="J4" s="3">
        <v>2.81</v>
      </c>
      <c r="K4" s="3">
        <v>2.96</v>
      </c>
      <c r="L4" s="3">
        <v>3.11</v>
      </c>
      <c r="M4" s="3">
        <v>3</v>
      </c>
      <c r="N4" s="3">
        <v>3</v>
      </c>
      <c r="O4" s="3">
        <v>9</v>
      </c>
    </row>
    <row r="5" spans="1:15" hidden="1">
      <c r="A5" s="3">
        <v>559001</v>
      </c>
      <c r="B5" s="3" t="s">
        <v>22</v>
      </c>
      <c r="C5" s="3" t="s">
        <v>16</v>
      </c>
      <c r="D5" s="3">
        <v>-30.6433</v>
      </c>
      <c r="E5" s="3">
        <v>152.85499999999999</v>
      </c>
      <c r="F5" s="3" t="s">
        <v>17</v>
      </c>
      <c r="G5" s="3" t="s">
        <v>21</v>
      </c>
      <c r="H5" s="3">
        <v>18.39</v>
      </c>
      <c r="M5" s="3">
        <v>2</v>
      </c>
      <c r="N5" s="3">
        <v>1</v>
      </c>
      <c r="O5" s="3">
        <f>M5*N5</f>
        <v>2</v>
      </c>
    </row>
    <row r="6" spans="1:15">
      <c r="A6" s="3">
        <v>559004</v>
      </c>
      <c r="B6" s="3" t="s">
        <v>23</v>
      </c>
      <c r="C6" s="3" t="s">
        <v>16</v>
      </c>
      <c r="D6" s="3">
        <v>-30.388300000000001</v>
      </c>
      <c r="E6" s="3">
        <v>152.8817</v>
      </c>
      <c r="F6" s="3" t="s">
        <v>17</v>
      </c>
      <c r="G6" s="3" t="s">
        <v>21</v>
      </c>
      <c r="H6" s="3">
        <v>27.71</v>
      </c>
      <c r="I6" s="3">
        <v>28.4</v>
      </c>
      <c r="J6" s="3">
        <v>28.5</v>
      </c>
      <c r="K6" s="3">
        <v>28.61</v>
      </c>
      <c r="L6" s="3">
        <v>28.71</v>
      </c>
      <c r="M6" s="3">
        <v>3</v>
      </c>
      <c r="N6" s="3">
        <v>3</v>
      </c>
      <c r="O6" s="3">
        <v>9</v>
      </c>
    </row>
    <row r="7" spans="1:15" hidden="1">
      <c r="A7" s="3">
        <v>559005</v>
      </c>
      <c r="B7" s="3" t="s">
        <v>24</v>
      </c>
      <c r="C7" s="3" t="s">
        <v>16</v>
      </c>
      <c r="D7" s="3">
        <v>-30.730599999999999</v>
      </c>
      <c r="E7" s="3">
        <v>152.85</v>
      </c>
      <c r="F7" s="3" t="s">
        <v>17</v>
      </c>
      <c r="G7" s="3" t="s">
        <v>21</v>
      </c>
      <c r="H7" s="3">
        <v>23.72</v>
      </c>
      <c r="M7" s="3">
        <v>2</v>
      </c>
      <c r="N7" s="3">
        <v>1</v>
      </c>
      <c r="O7" s="3">
        <f>M7*N7</f>
        <v>2</v>
      </c>
    </row>
    <row r="8" spans="1:15">
      <c r="A8" s="3">
        <v>559006</v>
      </c>
      <c r="B8" s="3" t="s">
        <v>25</v>
      </c>
      <c r="C8" s="3" t="s">
        <v>16</v>
      </c>
      <c r="D8" s="3">
        <v>-30.707799999999999</v>
      </c>
      <c r="E8" s="3">
        <v>152.91999999999999</v>
      </c>
      <c r="F8" s="3" t="s">
        <v>17</v>
      </c>
      <c r="G8" s="3" t="s">
        <v>18</v>
      </c>
      <c r="H8" s="3">
        <v>2.57</v>
      </c>
      <c r="I8" s="3">
        <v>3.6</v>
      </c>
      <c r="J8" s="3">
        <v>4.0199999999999996</v>
      </c>
      <c r="K8" s="3">
        <v>4.62</v>
      </c>
      <c r="L8" s="3">
        <v>5.42</v>
      </c>
      <c r="M8" s="3">
        <v>2</v>
      </c>
      <c r="N8" s="3">
        <v>2</v>
      </c>
      <c r="O8" s="3">
        <v>4</v>
      </c>
    </row>
    <row r="9" spans="1:15">
      <c r="A9" s="3">
        <v>559008</v>
      </c>
      <c r="B9" s="3" t="s">
        <v>26</v>
      </c>
      <c r="C9" s="3" t="s">
        <v>16</v>
      </c>
      <c r="D9" s="3">
        <v>-30.465299999999999</v>
      </c>
      <c r="E9" s="3">
        <v>152.82220000000001</v>
      </c>
      <c r="F9" s="3" t="s">
        <v>17</v>
      </c>
      <c r="G9" s="3" t="s">
        <v>21</v>
      </c>
      <c r="H9" s="3">
        <v>28.87</v>
      </c>
      <c r="I9" s="3">
        <v>31</v>
      </c>
      <c r="J9" s="3">
        <v>31.63</v>
      </c>
      <c r="K9" s="3">
        <v>32.32</v>
      </c>
      <c r="L9" s="3">
        <v>33.01</v>
      </c>
      <c r="M9" s="3">
        <v>3</v>
      </c>
      <c r="N9" s="3">
        <v>2</v>
      </c>
      <c r="O9" s="3">
        <v>6</v>
      </c>
    </row>
    <row r="10" spans="1:15">
      <c r="A10" s="3">
        <v>559011</v>
      </c>
      <c r="B10" s="3" t="s">
        <v>27</v>
      </c>
      <c r="C10" s="3" t="s">
        <v>16</v>
      </c>
      <c r="D10" s="3">
        <v>-30.494</v>
      </c>
      <c r="E10" s="3">
        <v>153.012</v>
      </c>
      <c r="F10" s="3" t="s">
        <v>17</v>
      </c>
      <c r="G10" s="3" t="s">
        <v>18</v>
      </c>
      <c r="H10" s="3">
        <v>-0.28999999999999998</v>
      </c>
      <c r="I10" s="3">
        <v>3.11</v>
      </c>
      <c r="J10" s="3">
        <v>3.32</v>
      </c>
      <c r="K10" s="3">
        <v>3.62</v>
      </c>
      <c r="L10" s="3">
        <v>3.95</v>
      </c>
      <c r="M10" s="3">
        <v>3</v>
      </c>
      <c r="N10" s="3">
        <v>3</v>
      </c>
      <c r="O10" s="3">
        <v>9</v>
      </c>
    </row>
    <row r="11" spans="1:15">
      <c r="A11" s="3">
        <v>559020</v>
      </c>
      <c r="B11" s="3" t="s">
        <v>28</v>
      </c>
      <c r="C11" s="3" t="s">
        <v>16</v>
      </c>
      <c r="D11" s="3">
        <v>-30.506699999999999</v>
      </c>
      <c r="E11" s="3">
        <v>152.98500000000001</v>
      </c>
      <c r="F11" s="3" t="s">
        <v>17</v>
      </c>
      <c r="G11" s="3" t="s">
        <v>18</v>
      </c>
      <c r="H11" s="3">
        <v>2.8</v>
      </c>
      <c r="I11" s="3">
        <v>3.75</v>
      </c>
      <c r="J11" s="3">
        <v>4.0199999999999996</v>
      </c>
      <c r="K11" s="3">
        <v>4.32</v>
      </c>
      <c r="L11" s="3">
        <v>4.6500000000000004</v>
      </c>
      <c r="M11" s="3">
        <v>3</v>
      </c>
      <c r="N11" s="3">
        <v>3</v>
      </c>
      <c r="O11" s="3">
        <v>9</v>
      </c>
    </row>
    <row r="12" spans="1:15">
      <c r="A12" s="3">
        <v>559024</v>
      </c>
      <c r="B12" s="3" t="s">
        <v>29</v>
      </c>
      <c r="C12" s="3" t="s">
        <v>16</v>
      </c>
      <c r="D12" s="3">
        <v>-30.441700000000001</v>
      </c>
      <c r="E12" s="3">
        <v>153.02170000000001</v>
      </c>
      <c r="F12" s="3" t="s">
        <v>17</v>
      </c>
      <c r="G12" s="3" t="s">
        <v>18</v>
      </c>
      <c r="H12" s="3">
        <v>1.28</v>
      </c>
      <c r="I12" s="3">
        <v>4.2</v>
      </c>
      <c r="J12" s="3">
        <v>4.38</v>
      </c>
      <c r="K12" s="3">
        <v>4.58</v>
      </c>
      <c r="L12" s="3">
        <v>4.8</v>
      </c>
      <c r="M12" s="3">
        <v>3</v>
      </c>
      <c r="N12" s="3">
        <v>3</v>
      </c>
      <c r="O12" s="3">
        <v>9</v>
      </c>
    </row>
    <row r="13" spans="1:15" hidden="1">
      <c r="A13" s="3">
        <v>559045</v>
      </c>
      <c r="B13" s="3" t="s">
        <v>30</v>
      </c>
      <c r="C13" s="3" t="s">
        <v>16</v>
      </c>
      <c r="D13" s="3">
        <v>-30.628799999999998</v>
      </c>
      <c r="E13" s="3">
        <v>152.84960000000001</v>
      </c>
      <c r="F13" s="3" t="s">
        <v>17</v>
      </c>
      <c r="G13" s="3" t="s">
        <v>18</v>
      </c>
      <c r="H13" s="3">
        <v>16.100000000000001</v>
      </c>
      <c r="M13" s="3">
        <v>2</v>
      </c>
      <c r="N13" s="3">
        <v>1</v>
      </c>
      <c r="O13" s="3">
        <f>M13*N13</f>
        <v>2</v>
      </c>
    </row>
    <row r="14" spans="1:15" hidden="1">
      <c r="A14" s="3">
        <v>52084</v>
      </c>
      <c r="B14" s="3" t="s">
        <v>31</v>
      </c>
      <c r="C14" s="3" t="s">
        <v>32</v>
      </c>
      <c r="D14" s="3">
        <v>-28.616700000000002</v>
      </c>
      <c r="E14" s="3">
        <v>149.66669999999999</v>
      </c>
      <c r="F14" s="3" t="s">
        <v>17</v>
      </c>
      <c r="G14" s="3" t="s">
        <v>18</v>
      </c>
      <c r="H14" s="3">
        <v>179.21</v>
      </c>
      <c r="L14" s="3">
        <v>179.27</v>
      </c>
      <c r="M14" s="3">
        <v>2</v>
      </c>
      <c r="N14" s="3">
        <v>1</v>
      </c>
      <c r="O14" s="3">
        <f>M14*N14</f>
        <v>2</v>
      </c>
    </row>
    <row r="15" spans="1:15">
      <c r="A15" s="3">
        <v>53101</v>
      </c>
      <c r="B15" s="3" t="s">
        <v>33</v>
      </c>
      <c r="C15" s="3" t="s">
        <v>32</v>
      </c>
      <c r="D15" s="3">
        <v>-28.6083</v>
      </c>
      <c r="E15" s="3">
        <v>150.36500000000001</v>
      </c>
      <c r="F15" s="3" t="s">
        <v>17</v>
      </c>
      <c r="G15" s="3" t="s">
        <v>18</v>
      </c>
      <c r="H15" s="3">
        <v>215.27</v>
      </c>
      <c r="I15" s="3">
        <v>215.76</v>
      </c>
      <c r="J15" s="3">
        <v>215.82</v>
      </c>
      <c r="K15" s="3">
        <v>215.99</v>
      </c>
      <c r="L15" s="3">
        <v>216.32</v>
      </c>
      <c r="M15" s="3">
        <v>2</v>
      </c>
      <c r="N15" s="3">
        <v>2</v>
      </c>
      <c r="O15" s="3">
        <v>4</v>
      </c>
    </row>
    <row r="16" spans="1:15">
      <c r="A16" s="3">
        <v>53109</v>
      </c>
      <c r="B16" s="3" t="s">
        <v>34</v>
      </c>
      <c r="C16" s="3" t="s">
        <v>32</v>
      </c>
      <c r="D16" s="3">
        <v>-28.608899999999998</v>
      </c>
      <c r="E16" s="3">
        <v>149.8742</v>
      </c>
      <c r="F16" s="3" t="s">
        <v>17</v>
      </c>
      <c r="G16" s="3" t="s">
        <v>18</v>
      </c>
      <c r="H16" s="3">
        <v>185.82</v>
      </c>
      <c r="I16" s="3">
        <v>188.6</v>
      </c>
      <c r="J16" s="3">
        <v>188.6</v>
      </c>
      <c r="K16" s="3">
        <v>188.6</v>
      </c>
      <c r="L16" s="3">
        <v>188.6</v>
      </c>
      <c r="M16" s="3">
        <v>2</v>
      </c>
      <c r="N16" s="3">
        <v>2</v>
      </c>
      <c r="O16" s="3">
        <v>4</v>
      </c>
    </row>
    <row r="17" spans="1:15" hidden="1">
      <c r="A17" s="3">
        <v>54146</v>
      </c>
      <c r="B17" s="3" t="s">
        <v>35</v>
      </c>
      <c r="C17" s="3" t="s">
        <v>32</v>
      </c>
      <c r="D17" s="3">
        <v>-29.2333</v>
      </c>
      <c r="E17" s="3">
        <v>151.38329999999999</v>
      </c>
      <c r="F17" s="3" t="s">
        <v>17</v>
      </c>
      <c r="G17" s="3" t="s">
        <v>21</v>
      </c>
      <c r="H17" s="3">
        <v>411.06</v>
      </c>
      <c r="M17" s="3">
        <v>2</v>
      </c>
      <c r="N17" s="3">
        <v>1</v>
      </c>
      <c r="O17" s="3">
        <f>M17*N17</f>
        <v>2</v>
      </c>
    </row>
    <row r="18" spans="1:15" hidden="1">
      <c r="A18" s="3">
        <v>54155</v>
      </c>
      <c r="B18" s="3" t="s">
        <v>36</v>
      </c>
      <c r="C18" s="3" t="s">
        <v>32</v>
      </c>
      <c r="D18" s="3">
        <v>-29</v>
      </c>
      <c r="E18" s="3">
        <v>151.2833</v>
      </c>
      <c r="F18" s="3" t="s">
        <v>17</v>
      </c>
      <c r="G18" s="3" t="s">
        <v>18</v>
      </c>
      <c r="H18" s="3">
        <v>298.32</v>
      </c>
      <c r="I18" s="3">
        <v>300.14</v>
      </c>
      <c r="J18" s="3">
        <v>300.27999999999997</v>
      </c>
      <c r="K18" s="3">
        <v>300.74</v>
      </c>
      <c r="L18" s="3">
        <v>301.45</v>
      </c>
      <c r="M18" s="3">
        <v>2</v>
      </c>
      <c r="N18" s="3">
        <v>1</v>
      </c>
      <c r="O18" s="3">
        <v>2</v>
      </c>
    </row>
    <row r="19" spans="1:15">
      <c r="A19" s="3">
        <v>56158</v>
      </c>
      <c r="B19" s="3" t="s">
        <v>37</v>
      </c>
      <c r="C19" s="3" t="s">
        <v>32</v>
      </c>
      <c r="D19" s="3">
        <v>-29.133299999999998</v>
      </c>
      <c r="E19" s="3">
        <v>151.44999999999999</v>
      </c>
      <c r="F19" s="3" t="s">
        <v>17</v>
      </c>
      <c r="G19" s="3" t="s">
        <v>18</v>
      </c>
      <c r="H19" s="3">
        <v>339.99</v>
      </c>
      <c r="I19" s="3">
        <v>340.82</v>
      </c>
      <c r="J19" s="3">
        <v>341.34</v>
      </c>
      <c r="K19" s="3">
        <v>341.71</v>
      </c>
      <c r="L19" s="3">
        <v>342.13</v>
      </c>
      <c r="M19" s="3">
        <v>2</v>
      </c>
      <c r="N19" s="3">
        <v>2</v>
      </c>
      <c r="O19" s="3">
        <v>4</v>
      </c>
    </row>
    <row r="20" spans="1:15">
      <c r="A20" s="3">
        <v>541067</v>
      </c>
      <c r="B20" s="3" t="s">
        <v>38</v>
      </c>
      <c r="C20" s="3" t="s">
        <v>32</v>
      </c>
      <c r="D20" s="3">
        <v>-28.693100000000001</v>
      </c>
      <c r="E20" s="3">
        <v>150.89060000000001</v>
      </c>
      <c r="F20" s="3" t="s">
        <v>17</v>
      </c>
      <c r="G20" s="3" t="s">
        <v>21</v>
      </c>
      <c r="H20" s="3">
        <v>252.94</v>
      </c>
      <c r="I20" s="3">
        <v>255.13</v>
      </c>
      <c r="J20" s="3">
        <v>256.25</v>
      </c>
      <c r="K20" s="3">
        <v>258.64999999999998</v>
      </c>
      <c r="L20" s="3">
        <v>261.20999999999998</v>
      </c>
      <c r="M20" s="3">
        <v>2</v>
      </c>
      <c r="N20" s="3">
        <v>3</v>
      </c>
      <c r="O20" s="3">
        <v>6</v>
      </c>
    </row>
    <row r="21" spans="1:15" hidden="1">
      <c r="A21" s="3">
        <v>552012</v>
      </c>
      <c r="B21" s="3" t="s">
        <v>39</v>
      </c>
      <c r="C21" s="3" t="s">
        <v>32</v>
      </c>
      <c r="D21" s="3">
        <v>-28.697199999999999</v>
      </c>
      <c r="E21" s="3">
        <v>149.38669999999999</v>
      </c>
      <c r="F21" s="3" t="s">
        <v>17</v>
      </c>
      <c r="G21" s="3" t="s">
        <v>18</v>
      </c>
      <c r="H21" s="3">
        <v>172.61</v>
      </c>
      <c r="M21" s="3">
        <v>2</v>
      </c>
      <c r="N21" s="3">
        <v>1</v>
      </c>
      <c r="O21" s="3">
        <f>M21*N21</f>
        <v>2</v>
      </c>
    </row>
    <row r="22" spans="1:15">
      <c r="A22" s="3">
        <v>553024</v>
      </c>
      <c r="B22" s="3" t="s">
        <v>40</v>
      </c>
      <c r="C22" s="3" t="s">
        <v>32</v>
      </c>
      <c r="D22" s="3">
        <v>-28.633299999999998</v>
      </c>
      <c r="E22" s="3">
        <v>149.66669999999999</v>
      </c>
      <c r="F22" s="3" t="s">
        <v>17</v>
      </c>
      <c r="G22" s="3" t="s">
        <v>21</v>
      </c>
      <c r="H22" s="3">
        <v>178.83</v>
      </c>
      <c r="I22" s="3">
        <v>179.03</v>
      </c>
      <c r="J22" s="3">
        <v>179.15</v>
      </c>
      <c r="K22" s="3">
        <v>179.32</v>
      </c>
      <c r="L22" s="3">
        <v>179.51</v>
      </c>
      <c r="M22" s="3">
        <v>2</v>
      </c>
      <c r="N22" s="3">
        <v>3</v>
      </c>
      <c r="O22" s="3">
        <v>6</v>
      </c>
    </row>
    <row r="23" spans="1:15" hidden="1">
      <c r="A23" s="3">
        <v>553029</v>
      </c>
      <c r="B23" s="3" t="s">
        <v>41</v>
      </c>
      <c r="C23" s="3" t="s">
        <v>32</v>
      </c>
      <c r="D23" s="3">
        <v>-28.591100000000001</v>
      </c>
      <c r="E23" s="3">
        <v>150.36000000000001</v>
      </c>
      <c r="F23" s="3" t="s">
        <v>17</v>
      </c>
      <c r="G23" s="3" t="s">
        <v>18</v>
      </c>
      <c r="H23" s="3">
        <v>216.48</v>
      </c>
      <c r="I23" s="3">
        <v>216.56</v>
      </c>
      <c r="J23" s="3">
        <v>216.72</v>
      </c>
      <c r="K23" s="3">
        <v>216.74</v>
      </c>
      <c r="L23" s="3">
        <v>216.92</v>
      </c>
      <c r="M23" s="3">
        <v>2</v>
      </c>
      <c r="N23" s="3">
        <v>1</v>
      </c>
      <c r="O23" s="3">
        <v>2</v>
      </c>
    </row>
    <row r="24" spans="1:15">
      <c r="A24" s="3">
        <v>558004</v>
      </c>
      <c r="B24" s="3" t="s">
        <v>42</v>
      </c>
      <c r="C24" s="3" t="s">
        <v>43</v>
      </c>
      <c r="D24" s="3">
        <v>-28.5047</v>
      </c>
      <c r="E24" s="3">
        <v>153.47720000000001</v>
      </c>
      <c r="F24" s="3" t="s">
        <v>17</v>
      </c>
      <c r="G24" s="3" t="s">
        <v>18</v>
      </c>
      <c r="H24" s="3">
        <v>19.29</v>
      </c>
      <c r="I24" s="3">
        <v>19.809999999999999</v>
      </c>
      <c r="J24" s="3">
        <v>19.84</v>
      </c>
      <c r="K24" s="3">
        <v>19.920000000000002</v>
      </c>
      <c r="L24" s="3">
        <v>20</v>
      </c>
      <c r="M24" s="3">
        <v>3</v>
      </c>
      <c r="N24" s="3">
        <v>3</v>
      </c>
      <c r="O24" s="3">
        <v>9</v>
      </c>
    </row>
    <row r="25" spans="1:15">
      <c r="A25" s="3">
        <v>558005</v>
      </c>
      <c r="B25" s="3" t="s">
        <v>44</v>
      </c>
      <c r="C25" s="3" t="s">
        <v>43</v>
      </c>
      <c r="D25" s="3">
        <v>-28.494399999999999</v>
      </c>
      <c r="E25" s="3">
        <v>153.4847</v>
      </c>
      <c r="F25" s="3" t="s">
        <v>17</v>
      </c>
      <c r="G25" s="3" t="s">
        <v>21</v>
      </c>
      <c r="H25" s="3">
        <v>30.2</v>
      </c>
      <c r="M25" s="3">
        <v>3</v>
      </c>
      <c r="N25" s="3">
        <v>1</v>
      </c>
      <c r="O25" s="3">
        <f>M25*N25</f>
        <v>3</v>
      </c>
    </row>
    <row r="26" spans="1:15">
      <c r="A26" s="3">
        <v>558006</v>
      </c>
      <c r="B26" s="3" t="s">
        <v>45</v>
      </c>
      <c r="C26" s="3" t="s">
        <v>43</v>
      </c>
      <c r="D26" s="3">
        <v>-28.552800000000001</v>
      </c>
      <c r="E26" s="3">
        <v>153.49440000000001</v>
      </c>
      <c r="F26" s="3" t="s">
        <v>17</v>
      </c>
      <c r="G26" s="3" t="s">
        <v>18</v>
      </c>
      <c r="H26" s="3">
        <v>4.3499999999999996</v>
      </c>
      <c r="I26" s="3">
        <v>4.58</v>
      </c>
      <c r="J26" s="3">
        <v>4.62</v>
      </c>
      <c r="K26" s="3">
        <v>4.66</v>
      </c>
      <c r="L26" s="3">
        <v>4.7</v>
      </c>
      <c r="M26" s="3">
        <v>3</v>
      </c>
      <c r="N26" s="3">
        <v>3</v>
      </c>
      <c r="O26" s="3">
        <v>9</v>
      </c>
    </row>
    <row r="27" spans="1:15">
      <c r="A27" s="3">
        <v>558007</v>
      </c>
      <c r="B27" s="3" t="s">
        <v>46</v>
      </c>
      <c r="C27" s="3" t="s">
        <v>43</v>
      </c>
      <c r="D27" s="3">
        <v>-28.532800000000002</v>
      </c>
      <c r="E27" s="3">
        <v>153.45670000000001</v>
      </c>
      <c r="F27" s="3" t="s">
        <v>17</v>
      </c>
      <c r="G27" s="3" t="s">
        <v>18</v>
      </c>
      <c r="H27" s="3">
        <v>18.72</v>
      </c>
      <c r="I27" s="3">
        <v>18.77</v>
      </c>
      <c r="J27" s="3">
        <v>18.77</v>
      </c>
      <c r="K27" s="3">
        <v>18.77</v>
      </c>
      <c r="L27" s="3">
        <v>18.77</v>
      </c>
      <c r="M27" s="3">
        <v>3</v>
      </c>
      <c r="N27" s="3">
        <v>3</v>
      </c>
      <c r="O27" s="3">
        <v>9</v>
      </c>
    </row>
    <row r="28" spans="1:15">
      <c r="A28" s="3">
        <v>558008</v>
      </c>
      <c r="B28" s="3" t="s">
        <v>47</v>
      </c>
      <c r="C28" s="3" t="s">
        <v>43</v>
      </c>
      <c r="D28" s="3">
        <v>-28.554200000000002</v>
      </c>
      <c r="E28" s="3">
        <v>153.4367</v>
      </c>
      <c r="F28" s="3" t="s">
        <v>17</v>
      </c>
      <c r="G28" s="3" t="s">
        <v>21</v>
      </c>
      <c r="H28" s="3">
        <v>50.29</v>
      </c>
      <c r="I28" s="3">
        <v>50.57</v>
      </c>
      <c r="J28" s="3">
        <v>50.57</v>
      </c>
      <c r="K28" s="3">
        <v>50.57</v>
      </c>
      <c r="L28" s="3">
        <v>50.57</v>
      </c>
      <c r="M28" s="3">
        <v>3</v>
      </c>
      <c r="N28" s="3">
        <v>2</v>
      </c>
      <c r="O28" s="3">
        <v>6</v>
      </c>
    </row>
    <row r="29" spans="1:15">
      <c r="A29" s="3">
        <v>558019</v>
      </c>
      <c r="B29" s="3" t="s">
        <v>48</v>
      </c>
      <c r="C29" s="3" t="s">
        <v>43</v>
      </c>
      <c r="D29" s="3">
        <v>-28.5383</v>
      </c>
      <c r="E29" s="3">
        <v>153.55170000000001</v>
      </c>
      <c r="F29" s="3" t="s">
        <v>17</v>
      </c>
      <c r="G29" s="3" t="s">
        <v>49</v>
      </c>
      <c r="H29" s="3">
        <v>0.02</v>
      </c>
      <c r="I29" s="3">
        <v>2.5299999999999998</v>
      </c>
      <c r="J29" s="3">
        <v>2.6</v>
      </c>
      <c r="K29" s="3">
        <v>2.66</v>
      </c>
      <c r="L29" s="3">
        <v>2.7</v>
      </c>
      <c r="M29" s="3">
        <v>3</v>
      </c>
      <c r="N29" s="3">
        <v>3</v>
      </c>
      <c r="O29" s="3">
        <v>9</v>
      </c>
    </row>
    <row r="30" spans="1:15">
      <c r="A30" s="3">
        <v>558020</v>
      </c>
      <c r="B30" s="3" t="s">
        <v>50</v>
      </c>
      <c r="C30" s="3" t="s">
        <v>43</v>
      </c>
      <c r="D30" s="3">
        <v>-28.5016</v>
      </c>
      <c r="E30" s="3">
        <v>153.52680000000001</v>
      </c>
      <c r="F30" s="3" t="s">
        <v>17</v>
      </c>
      <c r="G30" s="3" t="s">
        <v>18</v>
      </c>
      <c r="H30" s="3">
        <v>2.5299999999999998</v>
      </c>
      <c r="I30" s="3">
        <v>2.83</v>
      </c>
      <c r="J30" s="3">
        <v>2.91</v>
      </c>
      <c r="K30" s="3">
        <v>2.97</v>
      </c>
      <c r="L30" s="3">
        <v>3.01</v>
      </c>
      <c r="M30" s="3">
        <v>3</v>
      </c>
      <c r="N30" s="3">
        <v>3</v>
      </c>
      <c r="O30" s="3">
        <v>9</v>
      </c>
    </row>
    <row r="31" spans="1:15">
      <c r="A31" s="3">
        <v>558111</v>
      </c>
      <c r="B31" s="3" t="s">
        <v>51</v>
      </c>
      <c r="C31" s="3" t="s">
        <v>43</v>
      </c>
      <c r="D31" s="3">
        <v>-28.559799999999999</v>
      </c>
      <c r="E31" s="3">
        <v>153.4933</v>
      </c>
      <c r="F31" s="3" t="s">
        <v>17</v>
      </c>
      <c r="G31" s="3" t="s">
        <v>52</v>
      </c>
      <c r="H31" s="3">
        <v>1.76</v>
      </c>
      <c r="I31" s="3">
        <v>4.37</v>
      </c>
      <c r="J31" s="3">
        <v>4.41</v>
      </c>
      <c r="K31" s="3">
        <v>4.43</v>
      </c>
      <c r="L31" s="3">
        <v>4.45</v>
      </c>
      <c r="M31" s="3">
        <v>3</v>
      </c>
      <c r="N31" s="3">
        <v>3</v>
      </c>
      <c r="O31" s="3">
        <v>9</v>
      </c>
    </row>
    <row r="32" spans="1:15" hidden="1">
      <c r="A32" s="3">
        <v>551008</v>
      </c>
      <c r="B32" s="3" t="s">
        <v>53</v>
      </c>
      <c r="C32" s="3" t="s">
        <v>54</v>
      </c>
      <c r="D32" s="3">
        <v>-31.813300000000002</v>
      </c>
      <c r="E32" s="3">
        <v>148.76669999999999</v>
      </c>
      <c r="F32" s="3" t="s">
        <v>17</v>
      </c>
      <c r="G32" s="3" t="s">
        <v>18</v>
      </c>
      <c r="H32" s="3">
        <v>308.49</v>
      </c>
      <c r="M32" s="3">
        <v>1</v>
      </c>
      <c r="N32" s="3">
        <v>1</v>
      </c>
      <c r="O32" s="3">
        <f>M32*N32</f>
        <v>1</v>
      </c>
    </row>
    <row r="33" spans="1:15" hidden="1">
      <c r="A33" s="3">
        <v>551020</v>
      </c>
      <c r="B33" s="3" t="s">
        <v>55</v>
      </c>
      <c r="C33" s="3" t="s">
        <v>54</v>
      </c>
      <c r="D33" s="3">
        <v>-30.308800000000002</v>
      </c>
      <c r="E33" s="3">
        <v>147.9999</v>
      </c>
      <c r="F33" s="3" t="s">
        <v>17</v>
      </c>
      <c r="G33" s="3" t="s">
        <v>18</v>
      </c>
      <c r="H33" s="3">
        <v>128.63999999999999</v>
      </c>
      <c r="I33" s="3">
        <v>130.94</v>
      </c>
      <c r="J33" s="3">
        <v>130.99</v>
      </c>
      <c r="K33" s="3">
        <v>131.28</v>
      </c>
      <c r="L33" s="3">
        <v>131.55000000000001</v>
      </c>
      <c r="M33" s="3">
        <v>1</v>
      </c>
      <c r="N33" s="3">
        <v>2</v>
      </c>
      <c r="O33" s="3">
        <v>2</v>
      </c>
    </row>
    <row r="34" spans="1:15" hidden="1">
      <c r="A34" s="3">
        <v>564000</v>
      </c>
      <c r="B34" s="3" t="s">
        <v>56</v>
      </c>
      <c r="C34" s="3" t="s">
        <v>54</v>
      </c>
      <c r="D34" s="3">
        <v>-31.833300000000001</v>
      </c>
      <c r="E34" s="3">
        <v>149.11670000000001</v>
      </c>
      <c r="F34" s="3" t="s">
        <v>17</v>
      </c>
      <c r="G34" s="3" t="s">
        <v>18</v>
      </c>
      <c r="H34" s="3">
        <v>357.3</v>
      </c>
      <c r="M34" s="3">
        <v>1</v>
      </c>
      <c r="N34" s="3">
        <v>1</v>
      </c>
      <c r="O34" s="3">
        <f>M34*N34</f>
        <v>1</v>
      </c>
    </row>
    <row r="35" spans="1:15" hidden="1">
      <c r="A35" s="3">
        <v>564001</v>
      </c>
      <c r="B35" s="3" t="s">
        <v>57</v>
      </c>
      <c r="C35" s="3" t="s">
        <v>54</v>
      </c>
      <c r="D35" s="3">
        <v>-31.386099999999999</v>
      </c>
      <c r="E35" s="3">
        <v>149.2011</v>
      </c>
      <c r="F35" s="3" t="s">
        <v>17</v>
      </c>
      <c r="G35" s="3" t="s">
        <v>21</v>
      </c>
      <c r="H35" s="3">
        <v>476.17</v>
      </c>
      <c r="L35" s="3">
        <v>477.32</v>
      </c>
      <c r="M35" s="3">
        <v>1</v>
      </c>
      <c r="N35" s="3">
        <v>1</v>
      </c>
      <c r="O35" s="3">
        <f>M35*N35</f>
        <v>1</v>
      </c>
    </row>
    <row r="36" spans="1:15" hidden="1">
      <c r="A36" s="3">
        <v>564003</v>
      </c>
      <c r="B36" s="3" t="s">
        <v>58</v>
      </c>
      <c r="C36" s="3" t="s">
        <v>54</v>
      </c>
      <c r="D36" s="3">
        <v>-31.431699999999999</v>
      </c>
      <c r="E36" s="3">
        <v>149.3133</v>
      </c>
      <c r="F36" s="3" t="s">
        <v>17</v>
      </c>
      <c r="G36" s="3" t="s">
        <v>18</v>
      </c>
      <c r="H36" s="3">
        <v>430.26</v>
      </c>
      <c r="I36" s="3">
        <v>433.97</v>
      </c>
      <c r="J36" s="3">
        <v>434.35</v>
      </c>
      <c r="K36" s="3">
        <v>434.97</v>
      </c>
      <c r="L36" s="3">
        <v>436.04</v>
      </c>
      <c r="M36" s="3">
        <v>1</v>
      </c>
      <c r="N36" s="3">
        <v>1</v>
      </c>
      <c r="O36" s="3">
        <v>1</v>
      </c>
    </row>
    <row r="37" spans="1:15" hidden="1">
      <c r="A37" s="3">
        <v>564005</v>
      </c>
      <c r="B37" s="3" t="s">
        <v>59</v>
      </c>
      <c r="C37" s="3" t="s">
        <v>54</v>
      </c>
      <c r="D37" s="3">
        <v>-31.2699</v>
      </c>
      <c r="E37" s="3">
        <v>149.2704</v>
      </c>
      <c r="F37" s="3" t="s">
        <v>17</v>
      </c>
      <c r="G37" s="3" t="s">
        <v>18</v>
      </c>
      <c r="H37" s="3">
        <v>505.16</v>
      </c>
      <c r="K37" s="3">
        <v>505.52</v>
      </c>
      <c r="L37" s="3">
        <v>506.58</v>
      </c>
      <c r="M37" s="3">
        <v>2</v>
      </c>
      <c r="N37" s="3">
        <v>1</v>
      </c>
      <c r="O37" s="3">
        <f>M37*N37</f>
        <v>2</v>
      </c>
    </row>
    <row r="38" spans="1:15" hidden="1">
      <c r="A38" s="3">
        <v>564006</v>
      </c>
      <c r="B38" s="3" t="s">
        <v>60</v>
      </c>
      <c r="C38" s="3" t="s">
        <v>54</v>
      </c>
      <c r="D38" s="3">
        <v>-31.523299999999999</v>
      </c>
      <c r="E38" s="3">
        <v>149.35169999999999</v>
      </c>
      <c r="F38" s="3" t="s">
        <v>17</v>
      </c>
      <c r="G38" s="3" t="s">
        <v>18</v>
      </c>
      <c r="H38" s="3">
        <v>413.4</v>
      </c>
      <c r="I38" s="3">
        <v>415.31</v>
      </c>
      <c r="J38" s="3">
        <v>415.96</v>
      </c>
      <c r="K38" s="3">
        <v>416.57</v>
      </c>
      <c r="L38" s="3">
        <v>418.26</v>
      </c>
      <c r="M38" s="3">
        <v>1</v>
      </c>
      <c r="N38" s="3">
        <v>1</v>
      </c>
      <c r="O38" s="3">
        <v>1</v>
      </c>
    </row>
    <row r="39" spans="1:15">
      <c r="A39" s="3">
        <v>57113</v>
      </c>
      <c r="B39" s="3" t="s">
        <v>61</v>
      </c>
      <c r="C39" s="3" t="s">
        <v>62</v>
      </c>
      <c r="D39" s="3">
        <v>-29.5733</v>
      </c>
      <c r="E39" s="3">
        <v>152.53890000000001</v>
      </c>
      <c r="F39" s="3" t="s">
        <v>17</v>
      </c>
      <c r="G39" s="3" t="s">
        <v>18</v>
      </c>
      <c r="H39" s="3">
        <v>110.1</v>
      </c>
      <c r="K39" s="3">
        <v>110.35</v>
      </c>
      <c r="L39" s="3">
        <v>112.88</v>
      </c>
      <c r="M39" s="3">
        <v>3</v>
      </c>
      <c r="N39" s="3">
        <v>1</v>
      </c>
      <c r="O39" s="3">
        <f>M39*N39</f>
        <v>3</v>
      </c>
    </row>
    <row r="40" spans="1:15">
      <c r="A40" s="3">
        <v>57114</v>
      </c>
      <c r="B40" s="3" t="s">
        <v>63</v>
      </c>
      <c r="C40" s="3" t="s">
        <v>62</v>
      </c>
      <c r="D40" s="3">
        <v>-29.1967</v>
      </c>
      <c r="E40" s="3">
        <v>152.595</v>
      </c>
      <c r="F40" s="3" t="s">
        <v>17</v>
      </c>
      <c r="G40" s="3" t="s">
        <v>21</v>
      </c>
      <c r="H40" s="3">
        <v>118.15</v>
      </c>
      <c r="M40" s="3">
        <v>3</v>
      </c>
      <c r="N40" s="3">
        <v>1</v>
      </c>
      <c r="O40" s="3">
        <f>M40*N40</f>
        <v>3</v>
      </c>
    </row>
    <row r="41" spans="1:15">
      <c r="A41" s="3">
        <v>57116</v>
      </c>
      <c r="B41" s="3" t="s">
        <v>64</v>
      </c>
      <c r="C41" s="3" t="s">
        <v>62</v>
      </c>
      <c r="D41" s="3">
        <v>-29.841100000000001</v>
      </c>
      <c r="E41" s="3">
        <v>152.31610000000001</v>
      </c>
      <c r="F41" s="3" t="s">
        <v>17</v>
      </c>
      <c r="G41" s="3" t="s">
        <v>18</v>
      </c>
      <c r="H41" s="3">
        <v>253.34</v>
      </c>
      <c r="L41" s="3">
        <v>253.92</v>
      </c>
      <c r="M41" s="3">
        <v>3</v>
      </c>
      <c r="N41" s="3">
        <v>1</v>
      </c>
      <c r="O41" s="3">
        <f>M41*N41</f>
        <v>3</v>
      </c>
    </row>
    <row r="42" spans="1:15">
      <c r="A42" s="3">
        <v>58178</v>
      </c>
      <c r="B42" s="3" t="s">
        <v>65</v>
      </c>
      <c r="C42" s="3" t="s">
        <v>62</v>
      </c>
      <c r="D42" s="3">
        <v>-29.6967</v>
      </c>
      <c r="E42" s="3">
        <v>152.93</v>
      </c>
      <c r="F42" s="3" t="s">
        <v>17</v>
      </c>
      <c r="G42" s="3" t="s">
        <v>18</v>
      </c>
      <c r="H42" s="3">
        <v>2.09</v>
      </c>
      <c r="I42" s="3">
        <v>10.73</v>
      </c>
      <c r="J42" s="3">
        <v>11.38</v>
      </c>
      <c r="K42" s="3">
        <v>12.16</v>
      </c>
      <c r="L42" s="3">
        <v>13.01</v>
      </c>
      <c r="M42" s="3">
        <v>3</v>
      </c>
      <c r="N42" s="3">
        <v>2</v>
      </c>
      <c r="O42" s="3">
        <v>6</v>
      </c>
    </row>
    <row r="43" spans="1:15">
      <c r="A43" s="3">
        <v>58181</v>
      </c>
      <c r="B43" s="3" t="s">
        <v>66</v>
      </c>
      <c r="C43" s="3" t="s">
        <v>62</v>
      </c>
      <c r="D43" s="3">
        <v>-29.5944</v>
      </c>
      <c r="E43" s="3">
        <v>152.78059999999999</v>
      </c>
      <c r="F43" s="3" t="s">
        <v>17</v>
      </c>
      <c r="G43" s="3" t="s">
        <v>49</v>
      </c>
      <c r="H43" s="3">
        <v>36.71</v>
      </c>
      <c r="M43" s="3">
        <v>3</v>
      </c>
      <c r="N43" s="3">
        <v>1</v>
      </c>
      <c r="O43" s="3">
        <f>M43*N43</f>
        <v>3</v>
      </c>
    </row>
    <row r="44" spans="1:15">
      <c r="A44" s="3">
        <v>58188</v>
      </c>
      <c r="B44" s="3" t="s">
        <v>67</v>
      </c>
      <c r="C44" s="3" t="s">
        <v>62</v>
      </c>
      <c r="D44" s="3">
        <v>-29.631699999999999</v>
      </c>
      <c r="E44" s="3">
        <v>153.0283</v>
      </c>
      <c r="F44" s="3" t="s">
        <v>17</v>
      </c>
      <c r="G44" s="3" t="s">
        <v>18</v>
      </c>
      <c r="H44" s="3">
        <v>4.76</v>
      </c>
      <c r="I44" s="3">
        <v>6.28</v>
      </c>
      <c r="J44" s="3">
        <v>6.64</v>
      </c>
      <c r="K44" s="3">
        <v>7.07</v>
      </c>
      <c r="L44" s="3">
        <v>7.55</v>
      </c>
      <c r="M44" s="3">
        <v>3</v>
      </c>
      <c r="N44" s="3">
        <v>3</v>
      </c>
      <c r="O44" s="3">
        <v>9</v>
      </c>
    </row>
    <row r="45" spans="1:15">
      <c r="A45" s="3">
        <v>59123</v>
      </c>
      <c r="B45" s="3" t="s">
        <v>68</v>
      </c>
      <c r="C45" s="3" t="s">
        <v>62</v>
      </c>
      <c r="D45" s="3">
        <v>-30.0533</v>
      </c>
      <c r="E45" s="3">
        <v>152.98330000000001</v>
      </c>
      <c r="F45" s="3" t="s">
        <v>17</v>
      </c>
      <c r="G45" s="3" t="s">
        <v>18</v>
      </c>
      <c r="H45" s="3">
        <v>64.7</v>
      </c>
      <c r="M45" s="3">
        <v>3</v>
      </c>
      <c r="N45" s="3">
        <v>1</v>
      </c>
      <c r="O45" s="3">
        <f>M45*N45</f>
        <v>3</v>
      </c>
    </row>
    <row r="46" spans="1:15">
      <c r="A46" s="3">
        <v>59124</v>
      </c>
      <c r="B46" s="3" t="s">
        <v>69</v>
      </c>
      <c r="C46" s="3" t="s">
        <v>62</v>
      </c>
      <c r="D46" s="3">
        <v>-29.980599999999999</v>
      </c>
      <c r="E46" s="3">
        <v>152.72219999999999</v>
      </c>
      <c r="F46" s="3" t="s">
        <v>17</v>
      </c>
      <c r="G46" s="3" t="s">
        <v>21</v>
      </c>
      <c r="H46" s="3">
        <v>200.66</v>
      </c>
      <c r="M46" s="3">
        <v>3</v>
      </c>
      <c r="N46" s="3">
        <v>1</v>
      </c>
      <c r="O46" s="3">
        <f>M46*N46</f>
        <v>3</v>
      </c>
    </row>
    <row r="47" spans="1:15">
      <c r="A47" s="3">
        <v>557000</v>
      </c>
      <c r="B47" s="3" t="s">
        <v>70</v>
      </c>
      <c r="C47" s="3" t="s">
        <v>62</v>
      </c>
      <c r="D47" s="3">
        <v>-28.886700000000001</v>
      </c>
      <c r="E47" s="3">
        <v>152.5667</v>
      </c>
      <c r="F47" s="3" t="s">
        <v>17</v>
      </c>
      <c r="G47" s="3" t="s">
        <v>21</v>
      </c>
      <c r="H47" s="3">
        <v>123.19</v>
      </c>
      <c r="I47" s="3">
        <v>126.69</v>
      </c>
      <c r="J47" s="3">
        <v>128.06</v>
      </c>
      <c r="K47" s="3">
        <v>129.47999999999999</v>
      </c>
      <c r="L47" s="3">
        <v>130.75</v>
      </c>
      <c r="M47" s="3">
        <v>3</v>
      </c>
      <c r="N47" s="3">
        <v>2</v>
      </c>
      <c r="O47" s="3">
        <v>6</v>
      </c>
    </row>
    <row r="48" spans="1:15">
      <c r="A48" s="3">
        <v>557003</v>
      </c>
      <c r="B48" s="3" t="s">
        <v>71</v>
      </c>
      <c r="C48" s="3" t="s">
        <v>62</v>
      </c>
      <c r="D48" s="3">
        <v>-29.695</v>
      </c>
      <c r="E48" s="3">
        <v>152.1044</v>
      </c>
      <c r="F48" s="3" t="s">
        <v>17</v>
      </c>
      <c r="G48" s="3" t="s">
        <v>18</v>
      </c>
      <c r="H48" s="3">
        <v>411.66</v>
      </c>
      <c r="I48" s="3">
        <v>412.23</v>
      </c>
      <c r="J48" s="3">
        <v>412.23</v>
      </c>
      <c r="K48" s="3">
        <v>412.23</v>
      </c>
      <c r="L48" s="3">
        <v>412.23</v>
      </c>
      <c r="M48" s="3">
        <v>3</v>
      </c>
      <c r="N48" s="3">
        <v>2</v>
      </c>
      <c r="O48" s="3">
        <v>6</v>
      </c>
    </row>
    <row r="49" spans="1:15">
      <c r="A49" s="3">
        <v>557005</v>
      </c>
      <c r="B49" s="3" t="s">
        <v>72</v>
      </c>
      <c r="C49" s="3" t="s">
        <v>62</v>
      </c>
      <c r="D49" s="3">
        <v>-29.5092</v>
      </c>
      <c r="E49" s="3">
        <v>152.68170000000001</v>
      </c>
      <c r="F49" s="3" t="s">
        <v>17</v>
      </c>
      <c r="G49" s="3" t="s">
        <v>21</v>
      </c>
      <c r="H49" s="3">
        <v>22.78</v>
      </c>
      <c r="I49" s="3">
        <v>28.53</v>
      </c>
      <c r="J49" s="3">
        <v>30.2</v>
      </c>
      <c r="K49" s="3">
        <v>32.270000000000003</v>
      </c>
      <c r="L49" s="3">
        <v>34.630000000000003</v>
      </c>
      <c r="M49" s="3">
        <v>3</v>
      </c>
      <c r="N49" s="3">
        <v>3</v>
      </c>
      <c r="O49" s="3">
        <v>9</v>
      </c>
    </row>
    <row r="50" spans="1:15">
      <c r="A50" s="3">
        <v>557007</v>
      </c>
      <c r="B50" s="3" t="s">
        <v>73</v>
      </c>
      <c r="C50" s="3" t="s">
        <v>62</v>
      </c>
      <c r="D50" s="3">
        <v>-29.0519</v>
      </c>
      <c r="E50" s="3">
        <v>152.3817</v>
      </c>
      <c r="F50" s="3" t="s">
        <v>17</v>
      </c>
      <c r="G50" s="3" t="s">
        <v>18</v>
      </c>
      <c r="H50" s="3">
        <v>220.13</v>
      </c>
      <c r="I50" s="3">
        <v>220.63</v>
      </c>
      <c r="J50" s="3">
        <v>220.79</v>
      </c>
      <c r="K50" s="3">
        <v>221.04</v>
      </c>
      <c r="L50" s="3">
        <v>221.5</v>
      </c>
      <c r="M50" s="3">
        <v>3</v>
      </c>
      <c r="N50" s="3">
        <v>3</v>
      </c>
      <c r="O50" s="3">
        <v>9</v>
      </c>
    </row>
    <row r="51" spans="1:15">
      <c r="A51" s="3">
        <v>558022</v>
      </c>
      <c r="B51" s="3" t="s">
        <v>74</v>
      </c>
      <c r="C51" s="3" t="s">
        <v>62</v>
      </c>
      <c r="D51" s="3">
        <v>-29.466699999999999</v>
      </c>
      <c r="E51" s="3">
        <v>153.1833</v>
      </c>
      <c r="F51" s="3" t="s">
        <v>17</v>
      </c>
      <c r="G51" s="3" t="s">
        <v>18</v>
      </c>
      <c r="H51" s="3">
        <v>0.54</v>
      </c>
      <c r="I51" s="3">
        <v>6.52</v>
      </c>
      <c r="J51" s="3">
        <v>6.95</v>
      </c>
      <c r="K51" s="3">
        <v>7.42</v>
      </c>
      <c r="L51" s="3">
        <v>7.89</v>
      </c>
      <c r="M51" s="3">
        <v>3</v>
      </c>
      <c r="N51" s="3">
        <v>3</v>
      </c>
      <c r="O51" s="3">
        <v>9</v>
      </c>
    </row>
    <row r="52" spans="1:15">
      <c r="A52" s="3">
        <v>558062</v>
      </c>
      <c r="B52" s="3" t="s">
        <v>75</v>
      </c>
      <c r="C52" s="3" t="s">
        <v>62</v>
      </c>
      <c r="D52" s="3">
        <v>-29.429600000000001</v>
      </c>
      <c r="E52" s="3">
        <v>153.36189999999999</v>
      </c>
      <c r="F52" s="3" t="s">
        <v>17</v>
      </c>
      <c r="G52" s="3" t="s">
        <v>76</v>
      </c>
      <c r="H52" s="3">
        <v>-0.14000000000000001</v>
      </c>
      <c r="I52" s="3">
        <v>5.33</v>
      </c>
      <c r="J52" s="3">
        <v>5.62</v>
      </c>
      <c r="K52" s="3">
        <v>5.95</v>
      </c>
      <c r="L52" s="3">
        <v>6.27</v>
      </c>
      <c r="M52" s="3">
        <v>3</v>
      </c>
      <c r="N52" s="3">
        <v>3</v>
      </c>
      <c r="O52" s="3">
        <v>9</v>
      </c>
    </row>
    <row r="53" spans="1:15">
      <c r="A53" s="3">
        <v>559023</v>
      </c>
      <c r="B53" s="3" t="s">
        <v>77</v>
      </c>
      <c r="C53" s="3" t="s">
        <v>62</v>
      </c>
      <c r="D53" s="3">
        <v>-30.2544</v>
      </c>
      <c r="E53" s="3">
        <v>153.03280000000001</v>
      </c>
      <c r="F53" s="3" t="s">
        <v>17</v>
      </c>
      <c r="G53" s="3" t="s">
        <v>18</v>
      </c>
      <c r="H53" s="3">
        <v>104.51</v>
      </c>
      <c r="I53" s="3">
        <v>105.53</v>
      </c>
      <c r="J53" s="3">
        <v>105.86</v>
      </c>
      <c r="K53" s="3">
        <v>106.19</v>
      </c>
      <c r="L53" s="3">
        <v>106.54</v>
      </c>
      <c r="M53" s="3">
        <v>3</v>
      </c>
      <c r="N53" s="3">
        <v>3</v>
      </c>
      <c r="O53" s="3">
        <v>9</v>
      </c>
    </row>
    <row r="54" spans="1:15">
      <c r="A54" s="3">
        <v>559066</v>
      </c>
      <c r="B54" s="3" t="s">
        <v>78</v>
      </c>
      <c r="C54" s="3" t="s">
        <v>62</v>
      </c>
      <c r="D54" s="3">
        <v>-30.067599999999999</v>
      </c>
      <c r="E54" s="3">
        <v>152.98599999999999</v>
      </c>
      <c r="F54" s="3" t="s">
        <v>17</v>
      </c>
      <c r="G54" s="3" t="s">
        <v>18</v>
      </c>
      <c r="H54" s="3">
        <v>61.39</v>
      </c>
      <c r="I54" s="3">
        <v>66.510000000000005</v>
      </c>
      <c r="J54" s="3">
        <v>66.959999999999994</v>
      </c>
      <c r="K54" s="3">
        <v>67.459999999999994</v>
      </c>
      <c r="L54" s="3">
        <v>67.94</v>
      </c>
      <c r="M54" s="3">
        <v>3</v>
      </c>
      <c r="N54" s="3">
        <v>3</v>
      </c>
      <c r="O54" s="3">
        <v>9</v>
      </c>
    </row>
    <row r="55" spans="1:15" hidden="1">
      <c r="A55" s="3">
        <v>568182</v>
      </c>
      <c r="B55" s="3" t="s">
        <v>79</v>
      </c>
      <c r="C55" s="3" t="s">
        <v>80</v>
      </c>
      <c r="D55" s="3">
        <v>-35.268000000000001</v>
      </c>
      <c r="E55" s="3">
        <v>150.49719999999999</v>
      </c>
      <c r="F55" s="3" t="s">
        <v>17</v>
      </c>
      <c r="G55" s="3" t="s">
        <v>52</v>
      </c>
      <c r="H55" s="3">
        <v>0.87</v>
      </c>
      <c r="L55" s="3">
        <v>1.77</v>
      </c>
      <c r="M55" s="3">
        <v>2</v>
      </c>
      <c r="N55" s="3">
        <v>1</v>
      </c>
      <c r="O55" s="3">
        <f>M55*N55</f>
        <v>2</v>
      </c>
    </row>
    <row r="56" spans="1:15">
      <c r="A56" s="3">
        <v>568198</v>
      </c>
      <c r="B56" s="3" t="s">
        <v>81</v>
      </c>
      <c r="C56" s="3" t="s">
        <v>80</v>
      </c>
      <c r="D56" s="3">
        <v>-35.171100000000003</v>
      </c>
      <c r="E56" s="3">
        <v>150.5933</v>
      </c>
      <c r="F56" s="3" t="s">
        <v>17</v>
      </c>
      <c r="G56" s="3" t="s">
        <v>18</v>
      </c>
      <c r="H56" s="3">
        <v>0.42</v>
      </c>
      <c r="I56" s="3">
        <v>0.52</v>
      </c>
      <c r="J56" s="3">
        <v>0.52</v>
      </c>
      <c r="K56" s="3">
        <v>0.52</v>
      </c>
      <c r="L56" s="3">
        <v>0.52</v>
      </c>
      <c r="M56" s="3">
        <v>2</v>
      </c>
      <c r="N56" s="3">
        <v>3</v>
      </c>
      <c r="O56" s="3">
        <v>6</v>
      </c>
    </row>
    <row r="57" spans="1:15" hidden="1">
      <c r="A57" s="3">
        <v>568202</v>
      </c>
      <c r="B57" s="3" t="s">
        <v>82</v>
      </c>
      <c r="C57" s="3" t="s">
        <v>80</v>
      </c>
      <c r="D57" s="3">
        <v>-35.059800000000003</v>
      </c>
      <c r="E57" s="3">
        <v>150.58150000000001</v>
      </c>
      <c r="F57" s="3" t="s">
        <v>17</v>
      </c>
      <c r="G57" s="3" t="s">
        <v>21</v>
      </c>
      <c r="H57" s="3">
        <v>20.37</v>
      </c>
      <c r="M57" s="3">
        <v>2</v>
      </c>
      <c r="N57" s="3">
        <v>1</v>
      </c>
      <c r="O57" s="3">
        <f>M57*N57</f>
        <v>2</v>
      </c>
    </row>
    <row r="58" spans="1:15">
      <c r="A58" s="3">
        <v>569036</v>
      </c>
      <c r="B58" s="3" t="s">
        <v>83</v>
      </c>
      <c r="C58" s="3" t="s">
        <v>80</v>
      </c>
      <c r="D58" s="3">
        <v>-35.440899999999999</v>
      </c>
      <c r="E58" s="3">
        <v>150.4034</v>
      </c>
      <c r="F58" s="3" t="s">
        <v>17</v>
      </c>
      <c r="G58" s="3" t="s">
        <v>52</v>
      </c>
      <c r="H58" s="3">
        <v>1.55</v>
      </c>
      <c r="I58" s="3">
        <v>1.91</v>
      </c>
      <c r="J58" s="3">
        <v>1.96</v>
      </c>
      <c r="K58" s="3">
        <v>2.0699999999999998</v>
      </c>
      <c r="L58" s="3">
        <v>2.4300000000000002</v>
      </c>
      <c r="M58" s="3">
        <v>2</v>
      </c>
      <c r="N58" s="3">
        <v>3</v>
      </c>
      <c r="O58" s="3">
        <v>6</v>
      </c>
    </row>
    <row r="59" spans="1:15" hidden="1">
      <c r="A59" s="3">
        <v>54141</v>
      </c>
      <c r="B59" s="3" t="s">
        <v>84</v>
      </c>
      <c r="C59" s="3" t="s">
        <v>85</v>
      </c>
      <c r="D59" s="3">
        <v>-29.583300000000001</v>
      </c>
      <c r="E59" s="3">
        <v>150.37</v>
      </c>
      <c r="F59" s="3" t="s">
        <v>17</v>
      </c>
      <c r="G59" s="3" t="s">
        <v>21</v>
      </c>
      <c r="H59" s="3">
        <v>257.69</v>
      </c>
      <c r="I59" s="3">
        <v>261.76</v>
      </c>
      <c r="J59" s="3">
        <v>261.95</v>
      </c>
      <c r="K59" s="3">
        <v>263.41000000000003</v>
      </c>
      <c r="L59" s="3">
        <v>266.48</v>
      </c>
      <c r="M59" s="3">
        <v>1</v>
      </c>
      <c r="N59" s="3">
        <v>1</v>
      </c>
      <c r="O59" s="3">
        <v>1</v>
      </c>
    </row>
    <row r="60" spans="1:15">
      <c r="A60" s="3">
        <v>553000</v>
      </c>
      <c r="B60" s="3" t="s">
        <v>86</v>
      </c>
      <c r="C60" s="3" t="s">
        <v>85</v>
      </c>
      <c r="D60" s="3">
        <v>-29.4833</v>
      </c>
      <c r="E60" s="3">
        <v>150.13329999999999</v>
      </c>
      <c r="F60" s="3" t="s">
        <v>17</v>
      </c>
      <c r="G60" s="3" t="s">
        <v>18</v>
      </c>
      <c r="H60" s="3">
        <v>230.02</v>
      </c>
      <c r="I60" s="3">
        <v>231.04</v>
      </c>
      <c r="J60" s="3">
        <v>231.19</v>
      </c>
      <c r="K60" s="3">
        <v>231.43</v>
      </c>
      <c r="L60" s="3">
        <v>231.8</v>
      </c>
      <c r="M60" s="3">
        <v>1</v>
      </c>
      <c r="N60" s="3">
        <v>3</v>
      </c>
      <c r="O60" s="3">
        <v>3</v>
      </c>
    </row>
    <row r="61" spans="1:15" hidden="1">
      <c r="A61" s="3">
        <v>553001</v>
      </c>
      <c r="B61" s="3" t="s">
        <v>87</v>
      </c>
      <c r="C61" s="3" t="s">
        <v>85</v>
      </c>
      <c r="D61" s="3">
        <v>-29.466699999999999</v>
      </c>
      <c r="E61" s="3">
        <v>149.85</v>
      </c>
      <c r="F61" s="3" t="s">
        <v>17</v>
      </c>
      <c r="G61" s="3" t="s">
        <v>18</v>
      </c>
      <c r="H61" s="3">
        <v>206.77</v>
      </c>
      <c r="I61" s="3">
        <v>206.94</v>
      </c>
      <c r="J61" s="3">
        <v>206.98</v>
      </c>
      <c r="K61" s="3">
        <v>207.1</v>
      </c>
      <c r="L61" s="3">
        <v>207.23</v>
      </c>
      <c r="M61" s="3">
        <v>2</v>
      </c>
      <c r="N61" s="3">
        <v>1</v>
      </c>
      <c r="O61" s="3">
        <v>2</v>
      </c>
    </row>
    <row r="62" spans="1:15">
      <c r="A62" s="3">
        <v>553002</v>
      </c>
      <c r="B62" s="3" t="s">
        <v>88</v>
      </c>
      <c r="C62" s="3" t="s">
        <v>85</v>
      </c>
      <c r="D62" s="3">
        <v>-29.43</v>
      </c>
      <c r="E62" s="3">
        <v>149.8467</v>
      </c>
      <c r="F62" s="3" t="s">
        <v>17</v>
      </c>
      <c r="G62" s="3" t="s">
        <v>18</v>
      </c>
      <c r="H62" s="3">
        <v>207.42</v>
      </c>
      <c r="I62" s="3">
        <v>207.84</v>
      </c>
      <c r="J62" s="3">
        <v>207.98</v>
      </c>
      <c r="K62" s="3">
        <v>208.17</v>
      </c>
      <c r="L62" s="3">
        <v>208.38</v>
      </c>
      <c r="M62" s="3">
        <v>2</v>
      </c>
      <c r="N62" s="3">
        <v>3</v>
      </c>
      <c r="O62" s="3">
        <v>6</v>
      </c>
    </row>
    <row r="63" spans="1:15" hidden="1">
      <c r="A63" s="3">
        <v>553011</v>
      </c>
      <c r="B63" s="3" t="s">
        <v>89</v>
      </c>
      <c r="C63" s="3" t="s">
        <v>85</v>
      </c>
      <c r="D63" s="3">
        <v>-29.475200000000001</v>
      </c>
      <c r="E63" s="3">
        <v>149.977</v>
      </c>
      <c r="F63" s="3" t="s">
        <v>17</v>
      </c>
      <c r="G63" s="3" t="s">
        <v>18</v>
      </c>
      <c r="H63" s="3">
        <v>218.89</v>
      </c>
      <c r="I63" s="3">
        <v>219.47</v>
      </c>
      <c r="J63" s="3">
        <v>219.56</v>
      </c>
      <c r="K63" s="3">
        <v>219.72</v>
      </c>
      <c r="L63" s="3">
        <v>220.01</v>
      </c>
      <c r="M63" s="3">
        <v>1</v>
      </c>
      <c r="N63" s="3">
        <v>1</v>
      </c>
      <c r="O63" s="3">
        <v>1</v>
      </c>
    </row>
    <row r="64" spans="1:15" hidden="1">
      <c r="A64" s="3">
        <v>554007</v>
      </c>
      <c r="B64" s="3" t="s">
        <v>90</v>
      </c>
      <c r="C64" s="3" t="s">
        <v>85</v>
      </c>
      <c r="D64" s="3">
        <v>-29.883299999999998</v>
      </c>
      <c r="E64" s="3">
        <v>150.63329999999999</v>
      </c>
      <c r="F64" s="3" t="s">
        <v>17</v>
      </c>
      <c r="G64" s="3" t="s">
        <v>18</v>
      </c>
      <c r="H64" s="3">
        <v>363.55</v>
      </c>
      <c r="M64" s="3">
        <v>1</v>
      </c>
      <c r="N64" s="3">
        <v>1</v>
      </c>
      <c r="O64" s="3">
        <f>M64*N64</f>
        <v>1</v>
      </c>
    </row>
    <row r="65" spans="1:15" hidden="1">
      <c r="A65" s="3">
        <v>554008</v>
      </c>
      <c r="B65" s="3" t="s">
        <v>91</v>
      </c>
      <c r="C65" s="3" t="s">
        <v>85</v>
      </c>
      <c r="D65" s="3">
        <v>-29.833300000000001</v>
      </c>
      <c r="E65" s="3">
        <v>150.35</v>
      </c>
      <c r="F65" s="3" t="s">
        <v>17</v>
      </c>
      <c r="G65" s="3" t="s">
        <v>18</v>
      </c>
      <c r="H65" s="3">
        <v>298.18</v>
      </c>
      <c r="I65" s="3">
        <v>298.89</v>
      </c>
      <c r="J65" s="3">
        <v>298.89</v>
      </c>
      <c r="K65" s="3">
        <v>298.89</v>
      </c>
      <c r="L65" s="3">
        <v>298.89</v>
      </c>
      <c r="M65" s="3">
        <v>1</v>
      </c>
      <c r="N65" s="3">
        <v>2</v>
      </c>
      <c r="O65" s="3">
        <v>2</v>
      </c>
    </row>
    <row r="66" spans="1:15" hidden="1">
      <c r="A66" s="3">
        <v>554009</v>
      </c>
      <c r="B66" s="3" t="s">
        <v>92</v>
      </c>
      <c r="C66" s="3" t="s">
        <v>85</v>
      </c>
      <c r="D66" s="3">
        <v>-29.908300000000001</v>
      </c>
      <c r="E66" s="3">
        <v>150.57499999999999</v>
      </c>
      <c r="F66" s="3" t="s">
        <v>17</v>
      </c>
      <c r="G66" s="3" t="s">
        <v>18</v>
      </c>
      <c r="H66" s="3">
        <v>332.42</v>
      </c>
      <c r="M66" s="3">
        <v>1</v>
      </c>
      <c r="N66" s="3">
        <v>1</v>
      </c>
      <c r="O66" s="3">
        <f>M66*N66</f>
        <v>1</v>
      </c>
    </row>
    <row r="67" spans="1:15" hidden="1">
      <c r="A67" s="3">
        <v>554010</v>
      </c>
      <c r="B67" s="3" t="s">
        <v>93</v>
      </c>
      <c r="C67" s="3" t="s">
        <v>85</v>
      </c>
      <c r="D67" s="3">
        <v>-30.208100000000002</v>
      </c>
      <c r="E67" s="3">
        <v>150.4281</v>
      </c>
      <c r="F67" s="3" t="s">
        <v>17</v>
      </c>
      <c r="G67" s="3" t="s">
        <v>21</v>
      </c>
      <c r="H67" s="3">
        <v>433.87</v>
      </c>
      <c r="M67" s="3">
        <v>1</v>
      </c>
      <c r="N67" s="3">
        <v>1</v>
      </c>
      <c r="O67" s="3">
        <f>M67*N67</f>
        <v>1</v>
      </c>
    </row>
    <row r="68" spans="1:15" hidden="1">
      <c r="A68" s="3">
        <v>556000</v>
      </c>
      <c r="B68" s="3" t="s">
        <v>94</v>
      </c>
      <c r="C68" s="3" t="s">
        <v>85</v>
      </c>
      <c r="D68" s="3">
        <v>-29.911899999999999</v>
      </c>
      <c r="E68" s="3">
        <v>150.90700000000001</v>
      </c>
      <c r="F68" s="3" t="s">
        <v>17</v>
      </c>
      <c r="G68" s="3" t="s">
        <v>18</v>
      </c>
      <c r="H68" s="3">
        <v>480.67</v>
      </c>
      <c r="M68" s="3">
        <v>1</v>
      </c>
      <c r="N68" s="3">
        <v>1</v>
      </c>
      <c r="O68" s="3">
        <f>M68*N68</f>
        <v>1</v>
      </c>
    </row>
    <row r="69" spans="1:15" hidden="1">
      <c r="A69" s="3">
        <v>556006</v>
      </c>
      <c r="B69" s="3" t="s">
        <v>95</v>
      </c>
      <c r="C69" s="3" t="s">
        <v>85</v>
      </c>
      <c r="D69" s="3">
        <v>-30.468599999999999</v>
      </c>
      <c r="E69" s="3">
        <v>151.36170000000001</v>
      </c>
      <c r="F69" s="3" t="s">
        <v>17</v>
      </c>
      <c r="G69" s="3" t="s">
        <v>21</v>
      </c>
      <c r="H69" s="3">
        <v>745.51</v>
      </c>
      <c r="I69" s="3">
        <v>747.9</v>
      </c>
      <c r="J69" s="3">
        <v>748.55</v>
      </c>
      <c r="K69" s="3">
        <v>749.58</v>
      </c>
      <c r="L69" s="3">
        <v>751.42</v>
      </c>
      <c r="M69" s="3">
        <v>1</v>
      </c>
      <c r="N69" s="3">
        <v>2</v>
      </c>
      <c r="O69" s="3">
        <v>2</v>
      </c>
    </row>
    <row r="70" spans="1:15" hidden="1">
      <c r="A70" s="3">
        <v>556007</v>
      </c>
      <c r="B70" s="3" t="s">
        <v>96</v>
      </c>
      <c r="C70" s="3" t="s">
        <v>85</v>
      </c>
      <c r="D70" s="3">
        <v>-30.172499999999999</v>
      </c>
      <c r="E70" s="3">
        <v>151.06389999999999</v>
      </c>
      <c r="F70" s="3" t="s">
        <v>17</v>
      </c>
      <c r="G70" s="3" t="s">
        <v>21</v>
      </c>
      <c r="H70" s="3">
        <v>647.94000000000005</v>
      </c>
      <c r="I70" s="3">
        <v>650.47</v>
      </c>
      <c r="J70" s="3">
        <v>651.30999999999995</v>
      </c>
      <c r="K70" s="3">
        <v>652.67999999999995</v>
      </c>
      <c r="L70" s="3">
        <v>655.22</v>
      </c>
      <c r="M70" s="3">
        <v>1</v>
      </c>
      <c r="N70" s="3">
        <v>1</v>
      </c>
      <c r="O70" s="3">
        <v>1</v>
      </c>
    </row>
    <row r="71" spans="1:15" hidden="1">
      <c r="A71" s="3">
        <v>556009</v>
      </c>
      <c r="B71" s="3" t="s">
        <v>97</v>
      </c>
      <c r="C71" s="3" t="s">
        <v>85</v>
      </c>
      <c r="D71" s="3">
        <v>-29.916699999999999</v>
      </c>
      <c r="E71" s="3">
        <v>151.11670000000001</v>
      </c>
      <c r="F71" s="3" t="s">
        <v>17</v>
      </c>
      <c r="G71" s="3" t="s">
        <v>21</v>
      </c>
      <c r="H71" s="3">
        <v>762.67</v>
      </c>
      <c r="L71" s="3">
        <v>765.85</v>
      </c>
      <c r="M71" s="3">
        <v>1</v>
      </c>
      <c r="N71" s="3">
        <v>1</v>
      </c>
      <c r="O71" s="3">
        <f>M71*N71</f>
        <v>1</v>
      </c>
    </row>
    <row r="72" spans="1:15" hidden="1">
      <c r="A72" s="3">
        <v>556018</v>
      </c>
      <c r="B72" s="3" t="s">
        <v>98</v>
      </c>
      <c r="C72" s="3" t="s">
        <v>85</v>
      </c>
      <c r="D72" s="3">
        <v>-29.799199999999999</v>
      </c>
      <c r="E72" s="3">
        <v>150.5831</v>
      </c>
      <c r="F72" s="3" t="s">
        <v>17</v>
      </c>
      <c r="G72" s="3" t="s">
        <v>18</v>
      </c>
      <c r="H72" s="3">
        <v>293.86</v>
      </c>
      <c r="I72" s="3">
        <v>297.35000000000002</v>
      </c>
      <c r="J72" s="3">
        <v>297.61</v>
      </c>
      <c r="K72" s="3">
        <v>298.33</v>
      </c>
      <c r="L72" s="3">
        <v>300.61</v>
      </c>
      <c r="M72" s="3">
        <v>1</v>
      </c>
      <c r="N72" s="3">
        <v>1</v>
      </c>
      <c r="O72" s="3">
        <v>1</v>
      </c>
    </row>
    <row r="73" spans="1:15" hidden="1">
      <c r="A73" s="3">
        <v>60116</v>
      </c>
      <c r="B73" s="3" t="s">
        <v>99</v>
      </c>
      <c r="C73" s="3" t="s">
        <v>100</v>
      </c>
      <c r="D73" s="3">
        <v>-31.436699999999998</v>
      </c>
      <c r="E73" s="3">
        <v>152.4633</v>
      </c>
      <c r="F73" s="3" t="s">
        <v>17</v>
      </c>
      <c r="G73" s="3" t="s">
        <v>21</v>
      </c>
      <c r="H73" s="3">
        <v>62.05</v>
      </c>
      <c r="L73" s="3">
        <v>62.88</v>
      </c>
      <c r="M73" s="3">
        <v>1</v>
      </c>
      <c r="N73" s="3">
        <v>1</v>
      </c>
      <c r="O73" s="3">
        <f>M73*N73</f>
        <v>1</v>
      </c>
    </row>
    <row r="74" spans="1:15" hidden="1">
      <c r="A74" s="3">
        <v>60124</v>
      </c>
      <c r="B74" s="3" t="s">
        <v>101</v>
      </c>
      <c r="C74" s="3" t="s">
        <v>100</v>
      </c>
      <c r="D74" s="3">
        <v>-31.454999999999998</v>
      </c>
      <c r="E74" s="3">
        <v>152.73500000000001</v>
      </c>
      <c r="F74" s="3" t="s">
        <v>17</v>
      </c>
      <c r="G74" s="3" t="s">
        <v>18</v>
      </c>
      <c r="H74" s="3">
        <v>10.09</v>
      </c>
      <c r="M74" s="3">
        <v>2</v>
      </c>
      <c r="N74" s="3">
        <v>1</v>
      </c>
      <c r="O74" s="3">
        <f>M74*N74</f>
        <v>2</v>
      </c>
    </row>
    <row r="75" spans="1:15">
      <c r="A75" s="3">
        <v>60133</v>
      </c>
      <c r="B75" s="3" t="s">
        <v>102</v>
      </c>
      <c r="C75" s="3" t="s">
        <v>100</v>
      </c>
      <c r="D75" s="3">
        <v>-31.408300000000001</v>
      </c>
      <c r="E75" s="3">
        <v>152.9</v>
      </c>
      <c r="F75" s="3" t="s">
        <v>17</v>
      </c>
      <c r="G75" s="3" t="s">
        <v>18</v>
      </c>
      <c r="H75" s="3">
        <v>0.95</v>
      </c>
      <c r="I75" s="3">
        <v>2.67</v>
      </c>
      <c r="J75" s="3">
        <v>3</v>
      </c>
      <c r="K75" s="3">
        <v>3.4</v>
      </c>
      <c r="L75" s="3">
        <v>3.88</v>
      </c>
      <c r="M75" s="3">
        <v>2</v>
      </c>
      <c r="N75" s="3">
        <v>2</v>
      </c>
      <c r="O75" s="3">
        <v>4</v>
      </c>
    </row>
    <row r="76" spans="1:15" hidden="1">
      <c r="A76" s="3">
        <v>60138</v>
      </c>
      <c r="B76" s="3" t="s">
        <v>103</v>
      </c>
      <c r="C76" s="3" t="s">
        <v>100</v>
      </c>
      <c r="D76" s="3">
        <v>-31.4222</v>
      </c>
      <c r="E76" s="3">
        <v>152.59440000000001</v>
      </c>
      <c r="F76" s="3" t="s">
        <v>17</v>
      </c>
      <c r="G76" s="3" t="s">
        <v>18</v>
      </c>
      <c r="H76" s="3">
        <v>51.28</v>
      </c>
      <c r="K76" s="3">
        <v>51.9</v>
      </c>
      <c r="L76" s="3">
        <v>53.23</v>
      </c>
      <c r="M76" s="3">
        <v>2</v>
      </c>
      <c r="N76" s="3">
        <v>1</v>
      </c>
      <c r="O76" s="3">
        <f>M76*N76</f>
        <v>2</v>
      </c>
    </row>
    <row r="77" spans="1:15" hidden="1">
      <c r="A77" s="3">
        <v>560000</v>
      </c>
      <c r="B77" s="3" t="s">
        <v>104</v>
      </c>
      <c r="C77" s="3" t="s">
        <v>100</v>
      </c>
      <c r="D77" s="3">
        <v>-31.479399999999998</v>
      </c>
      <c r="E77" s="3">
        <v>152.44890000000001</v>
      </c>
      <c r="F77" s="3" t="s">
        <v>17</v>
      </c>
      <c r="G77" s="3" t="s">
        <v>18</v>
      </c>
      <c r="H77" s="3">
        <v>65.5</v>
      </c>
      <c r="M77" s="3">
        <v>1</v>
      </c>
      <c r="N77" s="3">
        <v>1</v>
      </c>
      <c r="O77" s="3">
        <f>M77*N77</f>
        <v>1</v>
      </c>
    </row>
    <row r="78" spans="1:15" hidden="1">
      <c r="A78" s="3">
        <v>560002</v>
      </c>
      <c r="B78" s="3" t="s">
        <v>105</v>
      </c>
      <c r="C78" s="3" t="s">
        <v>100</v>
      </c>
      <c r="D78" s="3">
        <v>-31.37</v>
      </c>
      <c r="E78" s="3">
        <v>152.24170000000001</v>
      </c>
      <c r="F78" s="3" t="s">
        <v>17</v>
      </c>
      <c r="G78" s="3" t="s">
        <v>18</v>
      </c>
      <c r="H78" s="3">
        <v>183.62</v>
      </c>
      <c r="M78" s="3">
        <v>1</v>
      </c>
      <c r="N78" s="3">
        <v>1</v>
      </c>
      <c r="O78" s="3">
        <f>M78*N78</f>
        <v>1</v>
      </c>
    </row>
    <row r="79" spans="1:15">
      <c r="A79" s="3">
        <v>560003</v>
      </c>
      <c r="B79" s="3" t="s">
        <v>106</v>
      </c>
      <c r="C79" s="3" t="s">
        <v>100</v>
      </c>
      <c r="D79" s="3">
        <v>-31.2667</v>
      </c>
      <c r="E79" s="3">
        <v>152.86670000000001</v>
      </c>
      <c r="F79" s="3" t="s">
        <v>17</v>
      </c>
      <c r="G79" s="3" t="s">
        <v>21</v>
      </c>
      <c r="H79" s="3">
        <v>0.46</v>
      </c>
      <c r="I79" s="3">
        <v>2.31</v>
      </c>
      <c r="J79" s="3">
        <v>2.62</v>
      </c>
      <c r="K79" s="3">
        <v>3.02</v>
      </c>
      <c r="L79" s="3">
        <v>3.54</v>
      </c>
      <c r="M79" s="3">
        <v>2</v>
      </c>
      <c r="N79" s="3">
        <v>3</v>
      </c>
      <c r="O79" s="3">
        <v>6</v>
      </c>
    </row>
    <row r="80" spans="1:15" hidden="1">
      <c r="A80" s="3">
        <v>560010</v>
      </c>
      <c r="B80" s="3" t="s">
        <v>107</v>
      </c>
      <c r="C80" s="3" t="s">
        <v>100</v>
      </c>
      <c r="D80" s="3">
        <v>-31.624700000000001</v>
      </c>
      <c r="E80" s="3">
        <v>152.6575</v>
      </c>
      <c r="F80" s="3" t="s">
        <v>17</v>
      </c>
      <c r="G80" s="3" t="s">
        <v>18</v>
      </c>
      <c r="H80" s="3">
        <v>21.92</v>
      </c>
      <c r="M80" s="3">
        <v>2</v>
      </c>
      <c r="N80" s="3">
        <v>1</v>
      </c>
      <c r="O80" s="3">
        <f>M80*N80</f>
        <v>2</v>
      </c>
    </row>
    <row r="81" spans="1:15" hidden="1">
      <c r="A81" s="3">
        <v>560011</v>
      </c>
      <c r="B81" s="3" t="s">
        <v>108</v>
      </c>
      <c r="C81" s="3" t="s">
        <v>100</v>
      </c>
      <c r="D81" s="3">
        <v>-31.323399999999999</v>
      </c>
      <c r="E81" s="3">
        <v>152.80080000000001</v>
      </c>
      <c r="F81" s="3" t="s">
        <v>17</v>
      </c>
      <c r="G81" s="3" t="s">
        <v>21</v>
      </c>
      <c r="H81" s="3">
        <v>2.0099999999999998</v>
      </c>
      <c r="I81" s="3">
        <v>2.65</v>
      </c>
      <c r="J81" s="3">
        <v>2.83</v>
      </c>
      <c r="K81" s="3">
        <v>3.19</v>
      </c>
      <c r="L81" s="3">
        <v>3.71</v>
      </c>
      <c r="M81" s="3">
        <v>2</v>
      </c>
      <c r="N81" s="3">
        <v>1</v>
      </c>
      <c r="O81" s="3">
        <v>2</v>
      </c>
    </row>
    <row r="82" spans="1:15" hidden="1">
      <c r="A82" s="3">
        <v>560012</v>
      </c>
      <c r="B82" s="3" t="s">
        <v>109</v>
      </c>
      <c r="C82" s="3" t="s">
        <v>100</v>
      </c>
      <c r="D82" s="3">
        <v>-31.727499999999999</v>
      </c>
      <c r="E82" s="3">
        <v>152.63890000000001</v>
      </c>
      <c r="F82" s="3" t="s">
        <v>17</v>
      </c>
      <c r="G82" s="3" t="s">
        <v>21</v>
      </c>
      <c r="H82" s="3">
        <v>19.04</v>
      </c>
      <c r="I82" s="3">
        <v>19.16</v>
      </c>
      <c r="J82" s="3">
        <v>19.170000000000002</v>
      </c>
      <c r="K82" s="3">
        <v>19.2</v>
      </c>
      <c r="L82" s="3">
        <v>19.350000000000001</v>
      </c>
      <c r="M82" s="3">
        <v>2</v>
      </c>
      <c r="N82" s="3">
        <v>1</v>
      </c>
      <c r="O82" s="3">
        <v>2</v>
      </c>
    </row>
    <row r="83" spans="1:15" hidden="1">
      <c r="A83" s="3">
        <v>560016</v>
      </c>
      <c r="B83" s="3" t="s">
        <v>110</v>
      </c>
      <c r="C83" s="3" t="s">
        <v>100</v>
      </c>
      <c r="D83" s="3">
        <v>-31.436900000000001</v>
      </c>
      <c r="E83" s="3">
        <v>152.48859999999999</v>
      </c>
      <c r="F83" s="3" t="s">
        <v>17</v>
      </c>
      <c r="G83" s="3" t="s">
        <v>52</v>
      </c>
      <c r="H83" s="3">
        <v>54.66</v>
      </c>
      <c r="L83" s="3">
        <v>56.72</v>
      </c>
      <c r="M83" s="3">
        <v>1</v>
      </c>
      <c r="N83" s="3">
        <v>1</v>
      </c>
      <c r="O83" s="3">
        <f>M83*N83</f>
        <v>1</v>
      </c>
    </row>
    <row r="84" spans="1:15" hidden="1">
      <c r="A84" s="3">
        <v>560017</v>
      </c>
      <c r="B84" s="3" t="s">
        <v>111</v>
      </c>
      <c r="C84" s="3" t="s">
        <v>100</v>
      </c>
      <c r="D84" s="3">
        <v>-31.616099999999999</v>
      </c>
      <c r="E84" s="3">
        <v>152.6925</v>
      </c>
      <c r="F84" s="3" t="s">
        <v>17</v>
      </c>
      <c r="G84" s="3" t="s">
        <v>21</v>
      </c>
      <c r="H84" s="3">
        <v>10.66</v>
      </c>
      <c r="L84" s="3">
        <v>10.93</v>
      </c>
      <c r="M84" s="3">
        <v>2</v>
      </c>
      <c r="N84" s="3">
        <v>1</v>
      </c>
      <c r="O84" s="3">
        <f>M84*N84</f>
        <v>2</v>
      </c>
    </row>
    <row r="85" spans="1:15" hidden="1">
      <c r="A85" s="3">
        <v>560018</v>
      </c>
      <c r="B85" s="3" t="s">
        <v>112</v>
      </c>
      <c r="C85" s="3" t="s">
        <v>100</v>
      </c>
      <c r="D85" s="3">
        <v>-31.655799999999999</v>
      </c>
      <c r="E85" s="3">
        <v>152.79750000000001</v>
      </c>
      <c r="F85" s="3" t="s">
        <v>17</v>
      </c>
      <c r="G85" s="3" t="s">
        <v>21</v>
      </c>
      <c r="H85" s="3">
        <v>5.5</v>
      </c>
      <c r="M85" s="3">
        <v>2</v>
      </c>
      <c r="N85" s="3">
        <v>1</v>
      </c>
      <c r="O85" s="3">
        <f>M85*N85</f>
        <v>2</v>
      </c>
    </row>
    <row r="86" spans="1:15" hidden="1">
      <c r="A86" s="3">
        <v>560020</v>
      </c>
      <c r="B86" s="3" t="s">
        <v>113</v>
      </c>
      <c r="C86" s="3" t="s">
        <v>100</v>
      </c>
      <c r="D86" s="3">
        <v>-31.462800000000001</v>
      </c>
      <c r="E86" s="3">
        <v>152.6789</v>
      </c>
      <c r="F86" s="3" t="s">
        <v>17</v>
      </c>
      <c r="G86" s="3" t="s">
        <v>114</v>
      </c>
      <c r="H86" s="3">
        <v>8.41</v>
      </c>
      <c r="I86" s="3">
        <v>10.55</v>
      </c>
      <c r="J86" s="3">
        <v>11.31</v>
      </c>
      <c r="K86" s="3">
        <v>12.37</v>
      </c>
      <c r="L86" s="3">
        <v>14.14</v>
      </c>
      <c r="M86" s="3">
        <v>2</v>
      </c>
      <c r="N86" s="3">
        <v>1</v>
      </c>
      <c r="O86" s="3">
        <v>2</v>
      </c>
    </row>
    <row r="87" spans="1:15" hidden="1">
      <c r="A87" s="3">
        <v>560025</v>
      </c>
      <c r="B87" s="3" t="s">
        <v>115</v>
      </c>
      <c r="C87" s="3" t="s">
        <v>100</v>
      </c>
      <c r="D87" s="3">
        <v>-31.6629</v>
      </c>
      <c r="E87" s="3">
        <v>152.61080000000001</v>
      </c>
      <c r="F87" s="3" t="s">
        <v>17</v>
      </c>
      <c r="G87" s="3" t="s">
        <v>18</v>
      </c>
      <c r="H87" s="3">
        <v>26.06</v>
      </c>
      <c r="I87" s="3">
        <v>27.13</v>
      </c>
      <c r="J87" s="3">
        <v>27.3</v>
      </c>
      <c r="K87" s="3">
        <v>27.59</v>
      </c>
      <c r="L87" s="3">
        <v>28.22</v>
      </c>
      <c r="M87" s="3">
        <v>2</v>
      </c>
      <c r="N87" s="3">
        <v>1</v>
      </c>
      <c r="O87" s="3">
        <v>2</v>
      </c>
    </row>
    <row r="88" spans="1:15" hidden="1">
      <c r="A88" s="3">
        <v>560031</v>
      </c>
      <c r="B88" s="3" t="s">
        <v>116</v>
      </c>
      <c r="C88" s="3" t="s">
        <v>100</v>
      </c>
      <c r="D88" s="3">
        <v>-31.384699999999999</v>
      </c>
      <c r="E88" s="3">
        <v>152.33330000000001</v>
      </c>
      <c r="F88" s="3" t="s">
        <v>17</v>
      </c>
      <c r="G88" s="3" t="s">
        <v>18</v>
      </c>
      <c r="H88" s="3">
        <v>108.16</v>
      </c>
      <c r="K88" s="3">
        <v>108.36</v>
      </c>
      <c r="L88" s="3">
        <v>109.66</v>
      </c>
      <c r="M88" s="3">
        <v>1</v>
      </c>
      <c r="N88" s="3">
        <v>1</v>
      </c>
      <c r="O88" s="3">
        <f>M88*N88</f>
        <v>1</v>
      </c>
    </row>
    <row r="89" spans="1:15" hidden="1">
      <c r="A89" s="3">
        <v>560033</v>
      </c>
      <c r="B89" s="3" t="s">
        <v>117</v>
      </c>
      <c r="C89" s="3" t="s">
        <v>100</v>
      </c>
      <c r="D89" s="3">
        <v>-31.3325</v>
      </c>
      <c r="E89" s="3">
        <v>152.74029999999999</v>
      </c>
      <c r="F89" s="3" t="s">
        <v>17</v>
      </c>
      <c r="G89" s="3" t="s">
        <v>18</v>
      </c>
      <c r="H89" s="3">
        <v>13.39</v>
      </c>
      <c r="M89" s="3">
        <v>2</v>
      </c>
      <c r="N89" s="3">
        <v>1</v>
      </c>
      <c r="O89" s="3">
        <f>M89*N89</f>
        <v>2</v>
      </c>
    </row>
    <row r="90" spans="1:15">
      <c r="A90" s="3">
        <v>560045</v>
      </c>
      <c r="B90" s="3" t="s">
        <v>118</v>
      </c>
      <c r="C90" s="3" t="s">
        <v>100</v>
      </c>
      <c r="D90" s="3">
        <v>-31.6431</v>
      </c>
      <c r="E90" s="3">
        <v>152.82079999999999</v>
      </c>
      <c r="F90" s="3" t="s">
        <v>17</v>
      </c>
      <c r="G90" s="3" t="s">
        <v>49</v>
      </c>
      <c r="H90" s="3">
        <v>0.08</v>
      </c>
      <c r="I90" s="3">
        <v>2.54</v>
      </c>
      <c r="J90" s="3">
        <v>3</v>
      </c>
      <c r="K90" s="3">
        <v>3.62</v>
      </c>
      <c r="L90" s="3">
        <v>4.3499999999999996</v>
      </c>
      <c r="M90" s="3">
        <v>2</v>
      </c>
      <c r="N90" s="3">
        <v>2</v>
      </c>
      <c r="O90" s="3">
        <v>4</v>
      </c>
    </row>
    <row r="91" spans="1:15">
      <c r="A91" s="3">
        <v>560067</v>
      </c>
      <c r="B91" s="3" t="s">
        <v>119</v>
      </c>
      <c r="C91" s="3" t="s">
        <v>100</v>
      </c>
      <c r="D91" s="3">
        <v>-31.325299999999999</v>
      </c>
      <c r="E91" s="3">
        <v>152.8415</v>
      </c>
      <c r="F91" s="3" t="s">
        <v>17</v>
      </c>
      <c r="G91" s="3" t="s">
        <v>52</v>
      </c>
      <c r="H91" s="3">
        <v>0.87</v>
      </c>
      <c r="I91" s="3">
        <v>1.65</v>
      </c>
      <c r="J91" s="3">
        <v>1.95</v>
      </c>
      <c r="K91" s="3">
        <v>2.36</v>
      </c>
      <c r="L91" s="3">
        <v>2.87</v>
      </c>
      <c r="M91" s="3">
        <v>2</v>
      </c>
      <c r="N91" s="3">
        <v>2</v>
      </c>
      <c r="O91" s="3">
        <v>4</v>
      </c>
    </row>
    <row r="92" spans="1:15">
      <c r="A92" s="3">
        <v>61353</v>
      </c>
      <c r="B92" s="3" t="s">
        <v>120</v>
      </c>
      <c r="C92" s="3" t="s">
        <v>121</v>
      </c>
      <c r="D92" s="3">
        <v>-33.294400000000003</v>
      </c>
      <c r="E92" s="3">
        <v>150.97190000000001</v>
      </c>
      <c r="F92" s="3" t="s">
        <v>17</v>
      </c>
      <c r="G92" s="3" t="s">
        <v>18</v>
      </c>
      <c r="H92" s="3">
        <v>9.5299999999999994</v>
      </c>
      <c r="I92" s="3">
        <v>14.88</v>
      </c>
      <c r="J92" s="3">
        <v>15.38</v>
      </c>
      <c r="K92" s="3">
        <v>15.98</v>
      </c>
      <c r="L92" s="3">
        <v>16.64</v>
      </c>
      <c r="M92" s="3">
        <v>3</v>
      </c>
      <c r="N92" s="3">
        <v>2</v>
      </c>
      <c r="O92" s="3">
        <v>6</v>
      </c>
    </row>
    <row r="93" spans="1:15">
      <c r="A93" s="3">
        <v>63280</v>
      </c>
      <c r="B93" s="3" t="s">
        <v>122</v>
      </c>
      <c r="C93" s="3" t="s">
        <v>121</v>
      </c>
      <c r="D93" s="3">
        <v>-33.493299999999998</v>
      </c>
      <c r="E93" s="3">
        <v>150.88159999999999</v>
      </c>
      <c r="F93" s="3" t="s">
        <v>17</v>
      </c>
      <c r="G93" s="3" t="s">
        <v>21</v>
      </c>
      <c r="H93" s="3">
        <v>1.1299999999999999</v>
      </c>
      <c r="I93" s="3">
        <v>8.6199999999999992</v>
      </c>
      <c r="J93" s="3">
        <v>9.73</v>
      </c>
      <c r="K93" s="3">
        <v>11.09</v>
      </c>
      <c r="L93" s="3">
        <v>12.6</v>
      </c>
      <c r="M93" s="3">
        <v>3</v>
      </c>
      <c r="N93" s="3">
        <v>2</v>
      </c>
      <c r="O93" s="3">
        <v>6</v>
      </c>
    </row>
    <row r="94" spans="1:15">
      <c r="A94" s="3">
        <v>67093</v>
      </c>
      <c r="B94" s="3" t="s">
        <v>123</v>
      </c>
      <c r="C94" s="3" t="s">
        <v>121</v>
      </c>
      <c r="D94" s="3">
        <v>-33.8611</v>
      </c>
      <c r="E94" s="3">
        <v>150.63030000000001</v>
      </c>
      <c r="F94" s="3" t="s">
        <v>17</v>
      </c>
      <c r="G94" s="3" t="s">
        <v>18</v>
      </c>
      <c r="H94" s="3">
        <v>26.85</v>
      </c>
      <c r="I94" s="3">
        <v>38.72</v>
      </c>
      <c r="J94" s="3">
        <v>38.840000000000003</v>
      </c>
      <c r="K94" s="3">
        <v>38.840000000000003</v>
      </c>
      <c r="L94" s="3">
        <v>38.840000000000003</v>
      </c>
      <c r="M94" s="3">
        <v>3</v>
      </c>
      <c r="N94" s="3">
        <v>3</v>
      </c>
      <c r="O94" s="3">
        <v>9</v>
      </c>
    </row>
    <row r="95" spans="1:15">
      <c r="A95" s="3">
        <v>67094</v>
      </c>
      <c r="B95" s="3" t="s">
        <v>124</v>
      </c>
      <c r="C95" s="3" t="s">
        <v>121</v>
      </c>
      <c r="D95" s="3">
        <v>-33.4377</v>
      </c>
      <c r="E95" s="3">
        <v>150.88319999999999</v>
      </c>
      <c r="F95" s="3" t="s">
        <v>17</v>
      </c>
      <c r="G95" s="3" t="s">
        <v>21</v>
      </c>
      <c r="H95" s="3">
        <v>1.61</v>
      </c>
      <c r="I95" s="3">
        <v>11.41</v>
      </c>
      <c r="J95" s="3">
        <v>12.41</v>
      </c>
      <c r="K95" s="3">
        <v>13.61</v>
      </c>
      <c r="L95" s="3">
        <v>13.61</v>
      </c>
      <c r="M95" s="3">
        <v>3</v>
      </c>
      <c r="N95" s="3">
        <v>2</v>
      </c>
      <c r="O95" s="3">
        <v>6</v>
      </c>
    </row>
    <row r="96" spans="1:15">
      <c r="A96" s="3">
        <v>68215</v>
      </c>
      <c r="B96" s="3" t="s">
        <v>125</v>
      </c>
      <c r="C96" s="3" t="s">
        <v>121</v>
      </c>
      <c r="D96" s="3">
        <v>-34.416699999999999</v>
      </c>
      <c r="E96" s="3">
        <v>150.19669999999999</v>
      </c>
      <c r="F96" s="3" t="s">
        <v>17</v>
      </c>
      <c r="G96" s="3" t="s">
        <v>21</v>
      </c>
      <c r="H96" s="3">
        <v>526.72</v>
      </c>
      <c r="M96" s="3">
        <v>3</v>
      </c>
      <c r="N96" s="3">
        <v>1</v>
      </c>
      <c r="O96" s="3">
        <f>M96*N96</f>
        <v>3</v>
      </c>
    </row>
    <row r="97" spans="1:15">
      <c r="A97" s="3">
        <v>561004</v>
      </c>
      <c r="B97" s="3" t="s">
        <v>126</v>
      </c>
      <c r="C97" s="3" t="s">
        <v>121</v>
      </c>
      <c r="D97" s="3">
        <v>-33.3874</v>
      </c>
      <c r="E97" s="3">
        <v>150.98230000000001</v>
      </c>
      <c r="F97" s="3" t="s">
        <v>17</v>
      </c>
      <c r="G97" s="3" t="s">
        <v>21</v>
      </c>
      <c r="H97" s="3">
        <v>1.04</v>
      </c>
      <c r="I97" s="3">
        <v>7.51</v>
      </c>
      <c r="J97" s="3">
        <v>8.3800000000000008</v>
      </c>
      <c r="K97" s="3">
        <v>9.43</v>
      </c>
      <c r="L97" s="3">
        <v>10.57</v>
      </c>
      <c r="M97" s="3">
        <v>3</v>
      </c>
      <c r="N97" s="3">
        <v>3</v>
      </c>
      <c r="O97" s="3">
        <v>9</v>
      </c>
    </row>
    <row r="98" spans="1:15">
      <c r="A98" s="3">
        <v>561036</v>
      </c>
      <c r="B98" s="3" t="s">
        <v>127</v>
      </c>
      <c r="C98" s="3" t="s">
        <v>121</v>
      </c>
      <c r="D98" s="3">
        <v>-32.871899999999997</v>
      </c>
      <c r="E98" s="3">
        <v>150.81</v>
      </c>
      <c r="F98" s="3" t="s">
        <v>17</v>
      </c>
      <c r="G98" s="3" t="s">
        <v>21</v>
      </c>
      <c r="H98" s="3">
        <v>176.96</v>
      </c>
      <c r="M98" s="3">
        <v>3</v>
      </c>
      <c r="N98" s="3">
        <v>1</v>
      </c>
      <c r="O98" s="3">
        <f>M98*N98</f>
        <v>3</v>
      </c>
    </row>
    <row r="99" spans="1:15">
      <c r="A99" s="3">
        <v>561065</v>
      </c>
      <c r="B99" s="3" t="s">
        <v>128</v>
      </c>
      <c r="C99" s="3" t="s">
        <v>121</v>
      </c>
      <c r="D99" s="3">
        <v>-33.457099999999997</v>
      </c>
      <c r="E99" s="3">
        <v>151.14680000000001</v>
      </c>
      <c r="F99" s="3" t="s">
        <v>17</v>
      </c>
      <c r="G99" s="3" t="s">
        <v>18</v>
      </c>
      <c r="H99" s="3">
        <v>0.44</v>
      </c>
      <c r="I99" s="3">
        <v>4.8899999999999997</v>
      </c>
      <c r="J99" s="3">
        <v>5.61</v>
      </c>
      <c r="K99" s="3">
        <v>6.49</v>
      </c>
      <c r="L99" s="3">
        <v>7.48</v>
      </c>
      <c r="M99" s="3">
        <v>3</v>
      </c>
      <c r="N99" s="3">
        <v>3</v>
      </c>
      <c r="O99" s="3">
        <v>9</v>
      </c>
    </row>
    <row r="100" spans="1:15">
      <c r="A100" s="3">
        <v>561076</v>
      </c>
      <c r="B100" s="3" t="s">
        <v>129</v>
      </c>
      <c r="C100" s="3" t="s">
        <v>121</v>
      </c>
      <c r="D100" s="3">
        <v>-33.440800000000003</v>
      </c>
      <c r="E100" s="3">
        <v>151.05699999999999</v>
      </c>
      <c r="F100" s="3" t="s">
        <v>17</v>
      </c>
      <c r="G100" s="3" t="s">
        <v>18</v>
      </c>
      <c r="H100" s="3">
        <v>1.43</v>
      </c>
      <c r="I100" s="3">
        <v>7.85</v>
      </c>
      <c r="J100" s="3">
        <v>8.7200000000000006</v>
      </c>
      <c r="K100" s="3">
        <v>9.75</v>
      </c>
      <c r="L100" s="3">
        <v>10.86</v>
      </c>
      <c r="M100" s="3">
        <v>3</v>
      </c>
      <c r="N100" s="3">
        <v>3</v>
      </c>
      <c r="O100" s="3">
        <v>9</v>
      </c>
    </row>
    <row r="101" spans="1:15">
      <c r="A101" s="3">
        <v>563000</v>
      </c>
      <c r="B101" s="3" t="s">
        <v>130</v>
      </c>
      <c r="C101" s="3" t="s">
        <v>121</v>
      </c>
      <c r="D101" s="3">
        <v>-33.871699999999997</v>
      </c>
      <c r="E101" s="3">
        <v>150.2533</v>
      </c>
      <c r="F101" s="3" t="s">
        <v>17</v>
      </c>
      <c r="G101" s="3" t="s">
        <v>21</v>
      </c>
      <c r="H101" s="3">
        <v>123.02</v>
      </c>
      <c r="I101" s="3">
        <v>132.55000000000001</v>
      </c>
      <c r="J101" s="3">
        <v>134.91</v>
      </c>
      <c r="K101" s="3">
        <v>135.32</v>
      </c>
      <c r="L101" s="3">
        <v>135.32</v>
      </c>
      <c r="M101" s="3">
        <v>3</v>
      </c>
      <c r="N101" s="3">
        <v>3</v>
      </c>
      <c r="O101" s="3">
        <v>9</v>
      </c>
    </row>
    <row r="102" spans="1:15">
      <c r="A102" s="3">
        <v>563010</v>
      </c>
      <c r="B102" s="3" t="s">
        <v>131</v>
      </c>
      <c r="C102" s="3" t="s">
        <v>121</v>
      </c>
      <c r="D102" s="3">
        <v>-33.547499999999999</v>
      </c>
      <c r="E102" s="3">
        <v>150.8931</v>
      </c>
      <c r="F102" s="3" t="s">
        <v>17</v>
      </c>
      <c r="G102" s="3" t="s">
        <v>18</v>
      </c>
      <c r="H102" s="3">
        <v>3.34</v>
      </c>
      <c r="I102" s="3">
        <v>13.62</v>
      </c>
      <c r="J102" s="3">
        <v>14.57</v>
      </c>
      <c r="K102" s="3">
        <v>15.34</v>
      </c>
      <c r="L102" s="3">
        <v>15.34</v>
      </c>
      <c r="M102" s="3">
        <v>3</v>
      </c>
      <c r="N102" s="3">
        <v>2</v>
      </c>
      <c r="O102" s="3">
        <v>6</v>
      </c>
    </row>
    <row r="103" spans="1:15">
      <c r="A103" s="3">
        <v>563011</v>
      </c>
      <c r="B103" s="3" t="s">
        <v>132</v>
      </c>
      <c r="C103" s="3" t="s">
        <v>121</v>
      </c>
      <c r="D103" s="3">
        <v>-33.569899999999997</v>
      </c>
      <c r="E103" s="3">
        <v>150.7807</v>
      </c>
      <c r="F103" s="3" t="s">
        <v>17</v>
      </c>
      <c r="G103" s="3" t="s">
        <v>18</v>
      </c>
      <c r="H103" s="3">
        <v>0.75</v>
      </c>
      <c r="I103" s="3">
        <v>12.12</v>
      </c>
      <c r="J103" s="3">
        <v>12.77</v>
      </c>
      <c r="K103" s="3">
        <v>12.77</v>
      </c>
      <c r="L103" s="3">
        <v>12.77</v>
      </c>
      <c r="M103" s="3">
        <v>3</v>
      </c>
      <c r="N103" s="3">
        <v>3</v>
      </c>
      <c r="O103" s="3">
        <v>9</v>
      </c>
    </row>
    <row r="104" spans="1:15">
      <c r="A104" s="3">
        <v>563021</v>
      </c>
      <c r="B104" s="3" t="s">
        <v>133</v>
      </c>
      <c r="C104" s="3" t="s">
        <v>121</v>
      </c>
      <c r="D104" s="3">
        <v>-34.246699999999997</v>
      </c>
      <c r="E104" s="3">
        <v>150.66669999999999</v>
      </c>
      <c r="F104" s="3" t="s">
        <v>17</v>
      </c>
      <c r="G104" s="3" t="s">
        <v>18</v>
      </c>
      <c r="H104" s="3">
        <v>136.38999999999999</v>
      </c>
      <c r="I104" s="3">
        <v>144.12</v>
      </c>
      <c r="J104" s="3">
        <v>145.69999999999999</v>
      </c>
      <c r="K104" s="3">
        <v>147.59</v>
      </c>
      <c r="L104" s="3">
        <v>148.38999999999999</v>
      </c>
      <c r="M104" s="3">
        <v>3</v>
      </c>
      <c r="N104" s="3">
        <v>2</v>
      </c>
      <c r="O104" s="3">
        <v>6</v>
      </c>
    </row>
    <row r="105" spans="1:15">
      <c r="A105" s="3">
        <v>563024</v>
      </c>
      <c r="B105" s="3" t="s">
        <v>134</v>
      </c>
      <c r="C105" s="3" t="s">
        <v>121</v>
      </c>
      <c r="D105" s="3">
        <v>-33.615299999999998</v>
      </c>
      <c r="E105" s="3">
        <v>150.6292</v>
      </c>
      <c r="F105" s="3" t="s">
        <v>17</v>
      </c>
      <c r="G105" s="3" t="s">
        <v>18</v>
      </c>
      <c r="H105" s="3">
        <v>17.29</v>
      </c>
      <c r="I105" s="3">
        <v>21.6</v>
      </c>
      <c r="J105" s="3">
        <v>23.51</v>
      </c>
      <c r="K105" s="3">
        <v>25.66</v>
      </c>
      <c r="L105" s="3">
        <v>28.32</v>
      </c>
      <c r="M105" s="3">
        <v>3</v>
      </c>
      <c r="N105" s="3">
        <v>2</v>
      </c>
      <c r="O105" s="3">
        <v>6</v>
      </c>
    </row>
    <row r="106" spans="1:15">
      <c r="A106" s="3">
        <v>563033</v>
      </c>
      <c r="B106" s="3" t="s">
        <v>135</v>
      </c>
      <c r="C106" s="3" t="s">
        <v>121</v>
      </c>
      <c r="D106" s="3">
        <v>-33.418300000000002</v>
      </c>
      <c r="E106" s="3">
        <v>150.7253</v>
      </c>
      <c r="F106" s="3" t="s">
        <v>17</v>
      </c>
      <c r="G106" s="3" t="s">
        <v>18</v>
      </c>
      <c r="H106" s="3">
        <v>10.14</v>
      </c>
      <c r="I106" s="3">
        <v>17.89</v>
      </c>
      <c r="J106" s="3">
        <v>17.89</v>
      </c>
      <c r="K106" s="3">
        <v>17.89</v>
      </c>
      <c r="L106" s="3">
        <v>17.89</v>
      </c>
      <c r="M106" s="3">
        <v>3</v>
      </c>
      <c r="N106" s="3">
        <v>1</v>
      </c>
      <c r="O106" s="3">
        <v>3</v>
      </c>
    </row>
    <row r="107" spans="1:15">
      <c r="A107" s="3">
        <v>563039</v>
      </c>
      <c r="B107" s="3" t="s">
        <v>136</v>
      </c>
      <c r="C107" s="3" t="s">
        <v>121</v>
      </c>
      <c r="D107" s="3">
        <v>-33.950000000000003</v>
      </c>
      <c r="E107" s="3">
        <v>150.25</v>
      </c>
      <c r="F107" s="3" t="s">
        <v>17</v>
      </c>
      <c r="G107" s="3" t="s">
        <v>21</v>
      </c>
      <c r="H107" s="3">
        <v>283.39999999999998</v>
      </c>
      <c r="M107" s="3">
        <v>3</v>
      </c>
      <c r="N107" s="3">
        <v>1</v>
      </c>
      <c r="O107" s="3">
        <f>M107*N107</f>
        <v>3</v>
      </c>
    </row>
    <row r="108" spans="1:15">
      <c r="A108" s="3">
        <v>563074</v>
      </c>
      <c r="B108" s="3" t="s">
        <v>137</v>
      </c>
      <c r="C108" s="3" t="s">
        <v>121</v>
      </c>
      <c r="D108" s="3">
        <v>-33.53</v>
      </c>
      <c r="E108" s="3">
        <v>150.08000000000001</v>
      </c>
      <c r="F108" s="3" t="s">
        <v>17</v>
      </c>
      <c r="G108" s="3" t="s">
        <v>21</v>
      </c>
      <c r="H108" s="3">
        <v>754.81</v>
      </c>
      <c r="L108" s="3">
        <v>755.54</v>
      </c>
      <c r="M108" s="3">
        <v>3</v>
      </c>
      <c r="N108" s="3">
        <v>1</v>
      </c>
      <c r="O108" s="3">
        <f>M108*N108</f>
        <v>3</v>
      </c>
    </row>
    <row r="109" spans="1:15">
      <c r="A109" s="3">
        <v>563075</v>
      </c>
      <c r="B109" s="3" t="s">
        <v>138</v>
      </c>
      <c r="C109" s="3" t="s">
        <v>121</v>
      </c>
      <c r="D109" s="3">
        <v>-33.122500000000002</v>
      </c>
      <c r="E109" s="3">
        <v>150.27940000000001</v>
      </c>
      <c r="F109" s="3" t="s">
        <v>17</v>
      </c>
      <c r="G109" s="3" t="s">
        <v>21</v>
      </c>
      <c r="H109" s="3">
        <v>269.62</v>
      </c>
      <c r="I109" s="3">
        <v>274.16000000000003</v>
      </c>
      <c r="J109" s="3">
        <v>275.72000000000003</v>
      </c>
      <c r="K109" s="3">
        <v>277.83999999999997</v>
      </c>
      <c r="L109" s="3">
        <v>280.33</v>
      </c>
      <c r="M109" s="3">
        <v>3</v>
      </c>
      <c r="N109" s="3">
        <v>2</v>
      </c>
      <c r="O109" s="3">
        <v>6</v>
      </c>
    </row>
    <row r="110" spans="1:15">
      <c r="A110" s="3">
        <v>563088</v>
      </c>
      <c r="B110" s="3" t="s">
        <v>139</v>
      </c>
      <c r="C110" s="3" t="s">
        <v>121</v>
      </c>
      <c r="D110" s="3">
        <v>-33.623600000000003</v>
      </c>
      <c r="E110" s="3">
        <v>150.6825</v>
      </c>
      <c r="F110" s="3" t="s">
        <v>17</v>
      </c>
      <c r="G110" s="3" t="s">
        <v>18</v>
      </c>
      <c r="H110" s="3">
        <v>6.22</v>
      </c>
      <c r="I110" s="3">
        <v>11.27</v>
      </c>
      <c r="J110" s="3">
        <v>12.76</v>
      </c>
      <c r="K110" s="3">
        <v>14.18</v>
      </c>
      <c r="L110" s="3">
        <v>15.86</v>
      </c>
      <c r="M110" s="3">
        <v>3</v>
      </c>
      <c r="N110" s="3">
        <v>2</v>
      </c>
      <c r="O110" s="3">
        <v>6</v>
      </c>
    </row>
    <row r="111" spans="1:15">
      <c r="A111" s="3">
        <v>563100</v>
      </c>
      <c r="B111" s="3" t="s">
        <v>140</v>
      </c>
      <c r="C111" s="3" t="s">
        <v>121</v>
      </c>
      <c r="D111" s="3">
        <v>-33.757300000000001</v>
      </c>
      <c r="E111" s="3">
        <v>150.197</v>
      </c>
      <c r="F111" s="3" t="s">
        <v>17</v>
      </c>
      <c r="G111" s="3" t="s">
        <v>18</v>
      </c>
      <c r="H111" s="3">
        <v>291.26</v>
      </c>
      <c r="M111" s="3">
        <v>3</v>
      </c>
      <c r="N111" s="3">
        <v>1</v>
      </c>
      <c r="O111" s="3">
        <f>M111*N111</f>
        <v>3</v>
      </c>
    </row>
    <row r="112" spans="1:15">
      <c r="A112" s="3">
        <v>567044</v>
      </c>
      <c r="B112" s="3" t="s">
        <v>141</v>
      </c>
      <c r="C112" s="3" t="s">
        <v>121</v>
      </c>
      <c r="D112" s="3">
        <v>-33.604900000000001</v>
      </c>
      <c r="E112" s="3">
        <v>150.8184</v>
      </c>
      <c r="F112" s="3" t="s">
        <v>17</v>
      </c>
      <c r="G112" s="3" t="s">
        <v>21</v>
      </c>
      <c r="H112" s="3">
        <v>1.07</v>
      </c>
      <c r="I112" s="3">
        <v>13</v>
      </c>
      <c r="J112" s="3">
        <v>13</v>
      </c>
      <c r="K112" s="3">
        <v>13</v>
      </c>
      <c r="L112" s="3">
        <v>13</v>
      </c>
      <c r="M112" s="3">
        <v>3</v>
      </c>
      <c r="N112" s="3">
        <v>3</v>
      </c>
      <c r="O112" s="3">
        <v>9</v>
      </c>
    </row>
    <row r="113" spans="1:15">
      <c r="A113" s="3">
        <v>567045</v>
      </c>
      <c r="B113" s="3" t="s">
        <v>142</v>
      </c>
      <c r="C113" s="3" t="s">
        <v>121</v>
      </c>
      <c r="D113" s="3">
        <v>-33.634399999999999</v>
      </c>
      <c r="E113" s="3">
        <v>150.6765</v>
      </c>
      <c r="F113" s="3" t="s">
        <v>17</v>
      </c>
      <c r="G113" s="3" t="s">
        <v>18</v>
      </c>
      <c r="H113" s="3">
        <v>2.15</v>
      </c>
      <c r="I113" s="3">
        <v>14.15</v>
      </c>
      <c r="J113" s="3">
        <v>14.15</v>
      </c>
      <c r="K113" s="3">
        <v>14.15</v>
      </c>
      <c r="L113" s="3">
        <v>14.15</v>
      </c>
      <c r="M113" s="3">
        <v>3</v>
      </c>
      <c r="N113" s="3">
        <v>3</v>
      </c>
      <c r="O113" s="3">
        <v>9</v>
      </c>
    </row>
    <row r="114" spans="1:15">
      <c r="A114" s="3">
        <v>567047</v>
      </c>
      <c r="B114" s="3" t="s">
        <v>143</v>
      </c>
      <c r="C114" s="3" t="s">
        <v>121</v>
      </c>
      <c r="D114" s="3">
        <v>-33.7468</v>
      </c>
      <c r="E114" s="3">
        <v>150.6825</v>
      </c>
      <c r="F114" s="3" t="s">
        <v>17</v>
      </c>
      <c r="G114" s="3" t="s">
        <v>18</v>
      </c>
      <c r="H114" s="3">
        <v>17.149999999999999</v>
      </c>
      <c r="I114" s="3">
        <v>29.15</v>
      </c>
      <c r="J114" s="3">
        <v>29.15</v>
      </c>
      <c r="K114" s="3">
        <v>29.15</v>
      </c>
      <c r="L114" s="3">
        <v>29.15</v>
      </c>
      <c r="M114" s="3">
        <v>3</v>
      </c>
      <c r="N114" s="3">
        <v>1</v>
      </c>
      <c r="O114" s="3">
        <v>3</v>
      </c>
    </row>
    <row r="115" spans="1:15">
      <c r="A115" s="3">
        <v>567068</v>
      </c>
      <c r="B115" s="3" t="s">
        <v>144</v>
      </c>
      <c r="C115" s="3" t="s">
        <v>121</v>
      </c>
      <c r="D115" s="3">
        <v>-33.497199999999999</v>
      </c>
      <c r="E115" s="3">
        <v>150.87690000000001</v>
      </c>
      <c r="F115" s="3" t="s">
        <v>17</v>
      </c>
      <c r="G115" s="3" t="s">
        <v>145</v>
      </c>
      <c r="H115" s="3">
        <v>16.510000000000002</v>
      </c>
      <c r="M115" s="3">
        <v>3</v>
      </c>
      <c r="N115" s="3">
        <v>1</v>
      </c>
      <c r="O115" s="3">
        <f>M115*N115</f>
        <v>3</v>
      </c>
    </row>
    <row r="116" spans="1:15">
      <c r="A116" s="3">
        <v>567070</v>
      </c>
      <c r="B116" s="3" t="s">
        <v>146</v>
      </c>
      <c r="C116" s="3" t="s">
        <v>121</v>
      </c>
      <c r="D116" s="3">
        <v>-33.875999999999998</v>
      </c>
      <c r="E116" s="3">
        <v>150.7698</v>
      </c>
      <c r="F116" s="3" t="s">
        <v>17</v>
      </c>
      <c r="G116" s="3" t="s">
        <v>21</v>
      </c>
      <c r="H116" s="3">
        <v>44.39</v>
      </c>
      <c r="L116" s="3">
        <v>44.72</v>
      </c>
      <c r="M116" s="3">
        <v>3</v>
      </c>
      <c r="N116" s="3">
        <v>1</v>
      </c>
      <c r="O116" s="3">
        <f>M116*N116</f>
        <v>3</v>
      </c>
    </row>
    <row r="117" spans="1:15">
      <c r="A117" s="3">
        <v>567071</v>
      </c>
      <c r="B117" s="3" t="s">
        <v>147</v>
      </c>
      <c r="C117" s="3" t="s">
        <v>121</v>
      </c>
      <c r="D117" s="3">
        <v>-33.769399999999997</v>
      </c>
      <c r="E117" s="3">
        <v>150.76179999999999</v>
      </c>
      <c r="F117" s="3" t="s">
        <v>17</v>
      </c>
      <c r="G117" s="3" t="s">
        <v>21</v>
      </c>
      <c r="H117" s="3">
        <v>21.18</v>
      </c>
      <c r="I117" s="3">
        <v>24.92</v>
      </c>
      <c r="J117" s="3">
        <v>25.44</v>
      </c>
      <c r="K117" s="3">
        <v>26.01</v>
      </c>
      <c r="L117" s="3">
        <v>26.64</v>
      </c>
      <c r="M117" s="3">
        <v>3</v>
      </c>
      <c r="N117" s="3">
        <v>3</v>
      </c>
      <c r="O117" s="3">
        <v>9</v>
      </c>
    </row>
    <row r="118" spans="1:15">
      <c r="A118" s="3">
        <v>567098</v>
      </c>
      <c r="B118" s="3" t="s">
        <v>148</v>
      </c>
      <c r="C118" s="3" t="s">
        <v>121</v>
      </c>
      <c r="D118" s="3">
        <v>-33.590000000000003</v>
      </c>
      <c r="E118" s="3">
        <v>150.71420000000001</v>
      </c>
      <c r="F118" s="3" t="s">
        <v>17</v>
      </c>
      <c r="G118" s="3" t="s">
        <v>18</v>
      </c>
      <c r="H118" s="3">
        <v>1.33</v>
      </c>
      <c r="I118" s="3">
        <v>12.95</v>
      </c>
      <c r="J118" s="3">
        <v>13.33</v>
      </c>
      <c r="K118" s="3">
        <v>13.33</v>
      </c>
      <c r="L118" s="3">
        <v>13.33</v>
      </c>
      <c r="M118" s="3">
        <v>3</v>
      </c>
      <c r="N118" s="3">
        <v>2</v>
      </c>
      <c r="O118" s="3">
        <v>6</v>
      </c>
    </row>
    <row r="119" spans="1:15">
      <c r="A119" s="3">
        <v>568140</v>
      </c>
      <c r="B119" s="3" t="s">
        <v>149</v>
      </c>
      <c r="C119" s="3" t="s">
        <v>121</v>
      </c>
      <c r="D119" s="3">
        <v>-34.142800000000001</v>
      </c>
      <c r="E119" s="3">
        <v>150.42500000000001</v>
      </c>
      <c r="F119" s="3" t="s">
        <v>17</v>
      </c>
      <c r="G119" s="3" t="s">
        <v>21</v>
      </c>
      <c r="H119" s="3">
        <v>124</v>
      </c>
      <c r="I119" s="3">
        <v>131.49</v>
      </c>
      <c r="J119" s="3">
        <v>132.43</v>
      </c>
      <c r="K119" s="3">
        <v>133.53</v>
      </c>
      <c r="L119" s="3">
        <v>134.69999999999999</v>
      </c>
      <c r="M119" s="3">
        <v>3</v>
      </c>
      <c r="N119" s="3">
        <v>3</v>
      </c>
      <c r="O119" s="3">
        <v>9</v>
      </c>
    </row>
    <row r="120" spans="1:15">
      <c r="A120" s="3">
        <v>568144</v>
      </c>
      <c r="B120" s="3" t="s">
        <v>150</v>
      </c>
      <c r="C120" s="3" t="s">
        <v>121</v>
      </c>
      <c r="D120" s="3">
        <v>-34.24</v>
      </c>
      <c r="E120" s="3">
        <v>150.2533</v>
      </c>
      <c r="F120" s="3" t="s">
        <v>17</v>
      </c>
      <c r="G120" s="3" t="s">
        <v>21</v>
      </c>
      <c r="H120" s="3">
        <v>255.71</v>
      </c>
      <c r="M120" s="3">
        <v>3</v>
      </c>
      <c r="N120" s="3">
        <v>1</v>
      </c>
      <c r="O120" s="3">
        <f>M120*N120</f>
        <v>3</v>
      </c>
    </row>
    <row r="121" spans="1:15">
      <c r="A121" s="3">
        <v>568151</v>
      </c>
      <c r="B121" s="3" t="s">
        <v>151</v>
      </c>
      <c r="C121" s="3" t="s">
        <v>121</v>
      </c>
      <c r="D121" s="3">
        <v>-34.026699999999998</v>
      </c>
      <c r="E121" s="3">
        <v>150.6567</v>
      </c>
      <c r="F121" s="3" t="s">
        <v>17</v>
      </c>
      <c r="G121" s="3" t="s">
        <v>18</v>
      </c>
      <c r="H121" s="3">
        <v>67.59</v>
      </c>
      <c r="M121" s="3">
        <v>3</v>
      </c>
      <c r="N121" s="3">
        <v>1</v>
      </c>
      <c r="O121" s="3">
        <f>M121*N121</f>
        <v>3</v>
      </c>
    </row>
    <row r="122" spans="1:15">
      <c r="A122" s="3">
        <v>568152</v>
      </c>
      <c r="B122" s="3" t="s">
        <v>152</v>
      </c>
      <c r="C122" s="3" t="s">
        <v>121</v>
      </c>
      <c r="D122" s="3">
        <v>-34.553899999999999</v>
      </c>
      <c r="E122" s="3">
        <v>150.08000000000001</v>
      </c>
      <c r="F122" s="3" t="s">
        <v>17</v>
      </c>
      <c r="G122" s="3" t="s">
        <v>21</v>
      </c>
      <c r="H122" s="3">
        <v>626.88</v>
      </c>
      <c r="M122" s="3">
        <v>3</v>
      </c>
      <c r="N122" s="3">
        <v>1</v>
      </c>
      <c r="O122" s="3">
        <f>M122*N122</f>
        <v>3</v>
      </c>
    </row>
    <row r="123" spans="1:15">
      <c r="A123" s="3">
        <v>568154</v>
      </c>
      <c r="B123" s="3" t="s">
        <v>153</v>
      </c>
      <c r="C123" s="3" t="s">
        <v>121</v>
      </c>
      <c r="D123" s="3">
        <v>-34.049999999999997</v>
      </c>
      <c r="E123" s="3">
        <v>150.70419999999999</v>
      </c>
      <c r="F123" s="3" t="s">
        <v>17</v>
      </c>
      <c r="G123" s="3" t="s">
        <v>18</v>
      </c>
      <c r="H123" s="3">
        <v>62.67</v>
      </c>
      <c r="I123" s="3">
        <v>68.400000000000006</v>
      </c>
      <c r="J123" s="3">
        <v>69.14</v>
      </c>
      <c r="K123" s="3">
        <v>69.94</v>
      </c>
      <c r="L123" s="3">
        <v>70.69</v>
      </c>
      <c r="M123" s="3">
        <v>3</v>
      </c>
      <c r="N123" s="3">
        <v>3</v>
      </c>
      <c r="O123" s="3">
        <v>9</v>
      </c>
    </row>
    <row r="124" spans="1:15">
      <c r="A124" s="3">
        <v>568156</v>
      </c>
      <c r="B124" s="3" t="s">
        <v>154</v>
      </c>
      <c r="C124" s="3" t="s">
        <v>121</v>
      </c>
      <c r="D124" s="3">
        <v>-34.229999999999997</v>
      </c>
      <c r="E124" s="3">
        <v>150.7433</v>
      </c>
      <c r="F124" s="3" t="s">
        <v>17</v>
      </c>
      <c r="G124" s="3" t="s">
        <v>18</v>
      </c>
      <c r="H124" s="3">
        <v>146.11000000000001</v>
      </c>
      <c r="M124" s="3">
        <v>3</v>
      </c>
      <c r="N124" s="3">
        <v>1</v>
      </c>
      <c r="O124" s="3">
        <f>M124*N124</f>
        <v>3</v>
      </c>
    </row>
    <row r="125" spans="1:15">
      <c r="A125" s="3">
        <v>568171</v>
      </c>
      <c r="B125" s="3" t="s">
        <v>155</v>
      </c>
      <c r="C125" s="3" t="s">
        <v>121</v>
      </c>
      <c r="D125" s="3">
        <v>-34.119399999999999</v>
      </c>
      <c r="E125" s="3">
        <v>150.74</v>
      </c>
      <c r="F125" s="3" t="s">
        <v>17</v>
      </c>
      <c r="G125" s="3" t="s">
        <v>18</v>
      </c>
      <c r="H125" s="3">
        <v>76.790000000000006</v>
      </c>
      <c r="M125" s="3">
        <v>3</v>
      </c>
      <c r="N125" s="3">
        <v>1</v>
      </c>
      <c r="O125" s="3">
        <f>M125*N125</f>
        <v>3</v>
      </c>
    </row>
    <row r="126" spans="1:15">
      <c r="A126" s="3">
        <v>568231</v>
      </c>
      <c r="B126" s="3" t="s">
        <v>156</v>
      </c>
      <c r="C126" s="3" t="s">
        <v>121</v>
      </c>
      <c r="D126" s="3">
        <v>-33.876899999999999</v>
      </c>
      <c r="E126" s="3">
        <v>150.60640000000001</v>
      </c>
      <c r="F126" s="3" t="s">
        <v>17</v>
      </c>
      <c r="G126" s="3" t="s">
        <v>18</v>
      </c>
      <c r="H126" s="3">
        <v>17.05</v>
      </c>
      <c r="I126" s="3">
        <v>29.03</v>
      </c>
      <c r="J126" s="3">
        <v>29.03</v>
      </c>
      <c r="K126" s="3">
        <v>29.03</v>
      </c>
      <c r="L126" s="3">
        <v>29.03</v>
      </c>
      <c r="M126" s="3">
        <v>3</v>
      </c>
      <c r="N126" s="3">
        <v>3</v>
      </c>
      <c r="O126" s="3">
        <v>9</v>
      </c>
    </row>
    <row r="127" spans="1:15">
      <c r="A127" s="3">
        <v>568233</v>
      </c>
      <c r="B127" s="3" t="s">
        <v>157</v>
      </c>
      <c r="C127" s="3" t="s">
        <v>121</v>
      </c>
      <c r="D127" s="3">
        <v>-34.206099999999999</v>
      </c>
      <c r="E127" s="3">
        <v>150.6285</v>
      </c>
      <c r="F127" s="3" t="s">
        <v>17</v>
      </c>
      <c r="G127" s="3" t="s">
        <v>18</v>
      </c>
      <c r="H127" s="3">
        <v>135.69999999999999</v>
      </c>
      <c r="M127" s="3">
        <v>3</v>
      </c>
      <c r="N127" s="3">
        <v>1</v>
      </c>
      <c r="O127" s="3">
        <f>M127*N127</f>
        <v>3</v>
      </c>
    </row>
    <row r="128" spans="1:15">
      <c r="A128" s="3">
        <v>570027</v>
      </c>
      <c r="B128" s="3" t="s">
        <v>158</v>
      </c>
      <c r="C128" s="3" t="s">
        <v>121</v>
      </c>
      <c r="D128" s="3">
        <v>-34.721699999999998</v>
      </c>
      <c r="E128" s="3">
        <v>149.79329999999999</v>
      </c>
      <c r="F128" s="3" t="s">
        <v>17</v>
      </c>
      <c r="G128" s="3" t="s">
        <v>21</v>
      </c>
      <c r="H128" s="3">
        <v>620.54</v>
      </c>
      <c r="I128" s="3">
        <v>627.24</v>
      </c>
      <c r="J128" s="3">
        <v>628.26</v>
      </c>
      <c r="K128" s="3">
        <v>629.59</v>
      </c>
      <c r="L128" s="3">
        <v>630.99</v>
      </c>
      <c r="M128" s="3">
        <v>3</v>
      </c>
      <c r="N128" s="3">
        <v>3</v>
      </c>
      <c r="O128" s="3">
        <v>9</v>
      </c>
    </row>
    <row r="129" spans="1:15" hidden="1">
      <c r="A129" s="3">
        <v>61185</v>
      </c>
      <c r="B129" s="3" t="s">
        <v>159</v>
      </c>
      <c r="C129" s="3" t="s">
        <v>160</v>
      </c>
      <c r="D129" s="3">
        <v>-32.112499999999997</v>
      </c>
      <c r="E129" s="3">
        <v>150.99170000000001</v>
      </c>
      <c r="F129" s="3" t="s">
        <v>17</v>
      </c>
      <c r="G129" s="3" t="s">
        <v>21</v>
      </c>
      <c r="H129" s="3">
        <v>202.53</v>
      </c>
      <c r="I129" s="3">
        <v>202.71</v>
      </c>
      <c r="J129" s="3">
        <v>202.89</v>
      </c>
      <c r="K129" s="3">
        <v>203.09</v>
      </c>
      <c r="L129" s="3">
        <v>203.72</v>
      </c>
      <c r="M129" s="3">
        <v>1</v>
      </c>
      <c r="N129" s="3">
        <v>1</v>
      </c>
      <c r="O129" s="3">
        <v>1</v>
      </c>
    </row>
    <row r="130" spans="1:15" hidden="1">
      <c r="A130" s="3">
        <v>61267</v>
      </c>
      <c r="B130" s="3" t="s">
        <v>161</v>
      </c>
      <c r="C130" s="3" t="s">
        <v>160</v>
      </c>
      <c r="D130" s="3">
        <v>-32.394599999999997</v>
      </c>
      <c r="E130" s="3">
        <v>151.76060000000001</v>
      </c>
      <c r="F130" s="3" t="s">
        <v>17</v>
      </c>
      <c r="G130" s="3" t="s">
        <v>18</v>
      </c>
      <c r="H130" s="3">
        <v>56.53</v>
      </c>
      <c r="L130" s="3">
        <v>57.89</v>
      </c>
      <c r="M130" s="3">
        <v>1</v>
      </c>
      <c r="N130" s="3">
        <v>1</v>
      </c>
      <c r="O130" s="3">
        <f>M130*N130</f>
        <v>1</v>
      </c>
    </row>
    <row r="131" spans="1:15" hidden="1">
      <c r="A131" s="3">
        <v>61268</v>
      </c>
      <c r="B131" s="3" t="s">
        <v>162</v>
      </c>
      <c r="C131" s="3" t="s">
        <v>160</v>
      </c>
      <c r="D131" s="3">
        <v>-32.729999999999997</v>
      </c>
      <c r="E131" s="3">
        <v>151.55500000000001</v>
      </c>
      <c r="F131" s="3" t="s">
        <v>17</v>
      </c>
      <c r="G131" s="3" t="s">
        <v>21</v>
      </c>
      <c r="H131" s="3">
        <v>2.58</v>
      </c>
      <c r="I131" s="3">
        <v>11.37</v>
      </c>
      <c r="J131" s="3">
        <v>11.48</v>
      </c>
      <c r="K131" s="3">
        <v>11.59</v>
      </c>
      <c r="L131" s="3">
        <v>11.82</v>
      </c>
      <c r="M131" s="3">
        <v>2</v>
      </c>
      <c r="N131" s="3">
        <v>1</v>
      </c>
      <c r="O131" s="3">
        <v>2</v>
      </c>
    </row>
    <row r="132" spans="1:15" hidden="1">
      <c r="A132" s="3">
        <v>61339</v>
      </c>
      <c r="B132" s="3" t="s">
        <v>163</v>
      </c>
      <c r="C132" s="3" t="s">
        <v>160</v>
      </c>
      <c r="D132" s="3">
        <v>-32.558399999999999</v>
      </c>
      <c r="E132" s="3">
        <v>151.80430000000001</v>
      </c>
      <c r="F132" s="3" t="s">
        <v>17</v>
      </c>
      <c r="G132" s="3" t="s">
        <v>21</v>
      </c>
      <c r="H132" s="3">
        <v>17.02</v>
      </c>
      <c r="M132" s="3">
        <v>2</v>
      </c>
      <c r="N132" s="3">
        <v>1</v>
      </c>
      <c r="O132" s="3">
        <f>M132*N132</f>
        <v>2</v>
      </c>
    </row>
    <row r="133" spans="1:15" hidden="1">
      <c r="A133" s="3">
        <v>61347</v>
      </c>
      <c r="B133" s="3" t="s">
        <v>164</v>
      </c>
      <c r="C133" s="3" t="s">
        <v>160</v>
      </c>
      <c r="D133" s="3">
        <v>-32.653300000000002</v>
      </c>
      <c r="E133" s="3">
        <v>151.02170000000001</v>
      </c>
      <c r="F133" s="3" t="s">
        <v>17</v>
      </c>
      <c r="G133" s="3" t="s">
        <v>18</v>
      </c>
      <c r="H133" s="3">
        <v>63.57</v>
      </c>
      <c r="I133" s="3">
        <v>63.85</v>
      </c>
      <c r="J133" s="3">
        <v>64.31</v>
      </c>
      <c r="K133" s="3">
        <v>64.790000000000006</v>
      </c>
      <c r="L133" s="3">
        <v>65.47</v>
      </c>
      <c r="M133" s="3">
        <v>2</v>
      </c>
      <c r="N133" s="3">
        <v>1</v>
      </c>
      <c r="O133" s="3">
        <v>2</v>
      </c>
    </row>
    <row r="134" spans="1:15" hidden="1">
      <c r="A134" s="3">
        <v>61348</v>
      </c>
      <c r="B134" s="3" t="s">
        <v>165</v>
      </c>
      <c r="C134" s="3" t="s">
        <v>160</v>
      </c>
      <c r="D134" s="3">
        <v>-32.012500000000003</v>
      </c>
      <c r="E134" s="3">
        <v>150.9958</v>
      </c>
      <c r="F134" s="3" t="s">
        <v>17</v>
      </c>
      <c r="G134" s="3" t="s">
        <v>18</v>
      </c>
      <c r="H134" s="3">
        <v>238.75</v>
      </c>
      <c r="K134" s="3">
        <v>239.26</v>
      </c>
      <c r="L134" s="3">
        <v>241.72</v>
      </c>
      <c r="M134" s="3">
        <v>1</v>
      </c>
      <c r="N134" s="3">
        <v>1</v>
      </c>
      <c r="O134" s="3">
        <f>M134*N134</f>
        <v>1</v>
      </c>
    </row>
    <row r="135" spans="1:15" hidden="1">
      <c r="A135" s="3">
        <v>61349</v>
      </c>
      <c r="B135" s="3" t="s">
        <v>166</v>
      </c>
      <c r="C135" s="3" t="s">
        <v>160</v>
      </c>
      <c r="D135" s="3">
        <v>-32.566699999999997</v>
      </c>
      <c r="E135" s="3">
        <v>151.60830000000001</v>
      </c>
      <c r="F135" s="3" t="s">
        <v>17</v>
      </c>
      <c r="G135" s="3" t="s">
        <v>21</v>
      </c>
      <c r="H135" s="3">
        <v>17.54</v>
      </c>
      <c r="M135" s="3">
        <v>2</v>
      </c>
      <c r="N135" s="3">
        <v>1</v>
      </c>
      <c r="O135" s="3">
        <f>M135*N135</f>
        <v>2</v>
      </c>
    </row>
    <row r="136" spans="1:15" hidden="1">
      <c r="A136" s="3">
        <v>61360</v>
      </c>
      <c r="B136" s="3" t="s">
        <v>167</v>
      </c>
      <c r="C136" s="3" t="s">
        <v>160</v>
      </c>
      <c r="D136" s="3">
        <v>-32.049999999999997</v>
      </c>
      <c r="E136" s="3">
        <v>150.8528</v>
      </c>
      <c r="F136" s="3" t="s">
        <v>17</v>
      </c>
      <c r="G136" s="3" t="s">
        <v>21</v>
      </c>
      <c r="H136" s="3">
        <v>203.03</v>
      </c>
      <c r="I136" s="3">
        <v>203.65</v>
      </c>
      <c r="J136" s="3">
        <v>203.75</v>
      </c>
      <c r="K136" s="3">
        <v>203.99</v>
      </c>
      <c r="L136" s="3">
        <v>204.71</v>
      </c>
      <c r="M136" s="3">
        <v>1</v>
      </c>
      <c r="N136" s="3">
        <v>2</v>
      </c>
      <c r="O136" s="3">
        <v>2</v>
      </c>
    </row>
    <row r="137" spans="1:15" hidden="1">
      <c r="A137" s="3">
        <v>61372</v>
      </c>
      <c r="B137" s="3" t="s">
        <v>168</v>
      </c>
      <c r="C137" s="3" t="s">
        <v>160</v>
      </c>
      <c r="D137" s="3">
        <v>-31.8017</v>
      </c>
      <c r="E137" s="3">
        <v>150.92500000000001</v>
      </c>
      <c r="F137" s="3" t="s">
        <v>17</v>
      </c>
      <c r="G137" s="3" t="s">
        <v>21</v>
      </c>
      <c r="H137" s="3">
        <v>405.94</v>
      </c>
      <c r="I137" s="3">
        <v>406.08</v>
      </c>
      <c r="J137" s="3">
        <v>406.09</v>
      </c>
      <c r="K137" s="3">
        <v>406.16</v>
      </c>
      <c r="L137" s="3">
        <v>406.29</v>
      </c>
      <c r="M137" s="3">
        <v>1</v>
      </c>
      <c r="N137" s="3">
        <v>2</v>
      </c>
      <c r="O137" s="3">
        <v>2</v>
      </c>
    </row>
    <row r="138" spans="1:15" hidden="1">
      <c r="A138" s="3">
        <v>61373</v>
      </c>
      <c r="B138" s="3" t="s">
        <v>169</v>
      </c>
      <c r="C138" s="3" t="s">
        <v>160</v>
      </c>
      <c r="D138" s="3">
        <v>-31.958300000000001</v>
      </c>
      <c r="E138" s="3">
        <v>150.85669999999999</v>
      </c>
      <c r="F138" s="3" t="s">
        <v>17</v>
      </c>
      <c r="G138" s="3" t="s">
        <v>21</v>
      </c>
      <c r="H138" s="3">
        <v>247.21</v>
      </c>
      <c r="I138" s="3">
        <v>248.34</v>
      </c>
      <c r="J138" s="3">
        <v>248.42</v>
      </c>
      <c r="K138" s="3">
        <v>248.64</v>
      </c>
      <c r="L138" s="3">
        <v>249.33</v>
      </c>
      <c r="M138" s="3">
        <v>1</v>
      </c>
      <c r="N138" s="3">
        <v>2</v>
      </c>
      <c r="O138" s="3">
        <v>2</v>
      </c>
    </row>
    <row r="139" spans="1:15" hidden="1">
      <c r="A139" s="3">
        <v>62094</v>
      </c>
      <c r="B139" s="3" t="s">
        <v>170</v>
      </c>
      <c r="C139" s="3" t="s">
        <v>160</v>
      </c>
      <c r="D139" s="3">
        <v>-32.416699999999999</v>
      </c>
      <c r="E139" s="3">
        <v>150.32169999999999</v>
      </c>
      <c r="F139" s="3" t="s">
        <v>17</v>
      </c>
      <c r="G139" s="3" t="s">
        <v>18</v>
      </c>
      <c r="H139" s="3">
        <v>164.86</v>
      </c>
      <c r="K139" s="3">
        <v>165.64</v>
      </c>
      <c r="L139" s="3">
        <v>168.39</v>
      </c>
      <c r="M139" s="3">
        <v>1</v>
      </c>
      <c r="N139" s="3">
        <v>1</v>
      </c>
      <c r="O139" s="3">
        <f>M139*N139</f>
        <v>1</v>
      </c>
    </row>
    <row r="140" spans="1:15">
      <c r="A140" s="3">
        <v>561002</v>
      </c>
      <c r="B140" s="3" t="s">
        <v>171</v>
      </c>
      <c r="C140" s="3" t="s">
        <v>160</v>
      </c>
      <c r="D140" s="3">
        <v>-32.7333</v>
      </c>
      <c r="E140" s="3">
        <v>151.63329999999999</v>
      </c>
      <c r="F140" s="3" t="s">
        <v>17</v>
      </c>
      <c r="G140" s="3" t="s">
        <v>49</v>
      </c>
      <c r="H140" s="3">
        <v>0.93</v>
      </c>
      <c r="I140" s="3">
        <v>4.47</v>
      </c>
      <c r="J140" s="3">
        <v>4.67</v>
      </c>
      <c r="K140" s="3">
        <v>4.9800000000000004</v>
      </c>
      <c r="L140" s="3">
        <v>5.42</v>
      </c>
      <c r="M140" s="3">
        <v>2</v>
      </c>
      <c r="N140" s="3">
        <v>3</v>
      </c>
      <c r="O140" s="3">
        <v>6</v>
      </c>
    </row>
    <row r="141" spans="1:15" hidden="1">
      <c r="A141" s="3">
        <v>561003</v>
      </c>
      <c r="B141" s="3" t="s">
        <v>172</v>
      </c>
      <c r="C141" s="3" t="s">
        <v>160</v>
      </c>
      <c r="D141" s="3">
        <v>-31.9175</v>
      </c>
      <c r="E141" s="3">
        <v>151.21420000000001</v>
      </c>
      <c r="F141" s="3" t="s">
        <v>17</v>
      </c>
      <c r="G141" s="3" t="s">
        <v>21</v>
      </c>
      <c r="H141" s="3">
        <v>388.17</v>
      </c>
      <c r="I141" s="3">
        <v>391.88</v>
      </c>
      <c r="J141" s="3">
        <v>392.1</v>
      </c>
      <c r="K141" s="3">
        <v>392.79</v>
      </c>
      <c r="L141" s="3">
        <v>394.9</v>
      </c>
      <c r="M141" s="3">
        <v>1</v>
      </c>
      <c r="N141" s="3">
        <v>1</v>
      </c>
      <c r="O141" s="3">
        <v>1</v>
      </c>
    </row>
    <row r="142" spans="1:15" hidden="1">
      <c r="A142" s="3">
        <v>561005</v>
      </c>
      <c r="B142" s="3" t="s">
        <v>173</v>
      </c>
      <c r="C142" s="3" t="s">
        <v>160</v>
      </c>
      <c r="D142" s="3">
        <v>-32.2575</v>
      </c>
      <c r="E142" s="3">
        <v>150.88749999999999</v>
      </c>
      <c r="F142" s="3" t="s">
        <v>17</v>
      </c>
      <c r="G142" s="3" t="s">
        <v>18</v>
      </c>
      <c r="H142" s="3">
        <v>144.61000000000001</v>
      </c>
      <c r="I142" s="3">
        <v>145.49</v>
      </c>
      <c r="J142" s="3">
        <v>145.93</v>
      </c>
      <c r="K142" s="3">
        <v>146.91</v>
      </c>
      <c r="L142" s="3">
        <v>148.05000000000001</v>
      </c>
      <c r="M142" s="3">
        <v>1</v>
      </c>
      <c r="N142" s="3">
        <v>1</v>
      </c>
      <c r="O142" s="3">
        <v>1</v>
      </c>
    </row>
    <row r="143" spans="1:15" hidden="1">
      <c r="A143" s="3">
        <v>561006</v>
      </c>
      <c r="B143" s="3" t="s">
        <v>174</v>
      </c>
      <c r="C143" s="3" t="s">
        <v>160</v>
      </c>
      <c r="D143" s="3">
        <v>-32.572200000000002</v>
      </c>
      <c r="E143" s="3">
        <v>151.04499999999999</v>
      </c>
      <c r="F143" s="3" t="s">
        <v>17</v>
      </c>
      <c r="G143" s="3" t="s">
        <v>175</v>
      </c>
      <c r="H143" s="3">
        <v>68.290000000000006</v>
      </c>
      <c r="M143" s="3">
        <v>2</v>
      </c>
      <c r="N143" s="3">
        <v>1</v>
      </c>
      <c r="O143" s="3">
        <f>M143*N143</f>
        <v>2</v>
      </c>
    </row>
    <row r="144" spans="1:15" hidden="1">
      <c r="A144" s="3">
        <v>561007</v>
      </c>
      <c r="B144" s="3" t="s">
        <v>176</v>
      </c>
      <c r="C144" s="3" t="s">
        <v>160</v>
      </c>
      <c r="D144" s="3">
        <v>-32.153100000000002</v>
      </c>
      <c r="E144" s="3">
        <v>151.04750000000001</v>
      </c>
      <c r="F144" s="3" t="s">
        <v>17</v>
      </c>
      <c r="G144" s="3" t="s">
        <v>21</v>
      </c>
      <c r="H144" s="3">
        <v>227.28</v>
      </c>
      <c r="M144" s="3">
        <v>1</v>
      </c>
      <c r="N144" s="3">
        <v>1</v>
      </c>
      <c r="O144" s="3">
        <f>M144*N144</f>
        <v>1</v>
      </c>
    </row>
    <row r="145" spans="1:15" hidden="1">
      <c r="A145" s="3">
        <v>561008</v>
      </c>
      <c r="B145" s="3" t="s">
        <v>177</v>
      </c>
      <c r="C145" s="3" t="s">
        <v>160</v>
      </c>
      <c r="D145" s="3">
        <v>-32.3444</v>
      </c>
      <c r="E145" s="3">
        <v>150.57499999999999</v>
      </c>
      <c r="F145" s="3" t="s">
        <v>17</v>
      </c>
      <c r="G145" s="3" t="s">
        <v>18</v>
      </c>
      <c r="H145" s="3">
        <v>128.30000000000001</v>
      </c>
      <c r="L145" s="3">
        <v>130.65</v>
      </c>
      <c r="M145" s="3">
        <v>1</v>
      </c>
      <c r="N145" s="3">
        <v>1</v>
      </c>
      <c r="O145" s="3">
        <f>M145*N145</f>
        <v>1</v>
      </c>
    </row>
    <row r="146" spans="1:15" hidden="1">
      <c r="A146" s="3">
        <v>561009</v>
      </c>
      <c r="B146" s="3" t="s">
        <v>178</v>
      </c>
      <c r="C146" s="3" t="s">
        <v>160</v>
      </c>
      <c r="D146" s="3">
        <v>-32.270800000000001</v>
      </c>
      <c r="E146" s="3">
        <v>150.63579999999999</v>
      </c>
      <c r="F146" s="3" t="s">
        <v>17</v>
      </c>
      <c r="G146" s="3" t="s">
        <v>18</v>
      </c>
      <c r="H146" s="3">
        <v>148.1</v>
      </c>
      <c r="I146" s="3">
        <v>148.27000000000001</v>
      </c>
      <c r="J146" s="3">
        <v>148.44999999999999</v>
      </c>
      <c r="K146" s="3">
        <v>148.63999999999999</v>
      </c>
      <c r="L146" s="3">
        <v>149.21</v>
      </c>
      <c r="M146" s="3">
        <v>1</v>
      </c>
      <c r="N146" s="3">
        <v>2</v>
      </c>
      <c r="O146" s="3">
        <v>2</v>
      </c>
    </row>
    <row r="147" spans="1:15" hidden="1">
      <c r="A147" s="3">
        <v>561010</v>
      </c>
      <c r="B147" s="3" t="s">
        <v>179</v>
      </c>
      <c r="C147" s="3" t="s">
        <v>160</v>
      </c>
      <c r="D147" s="3">
        <v>-32.549999999999997</v>
      </c>
      <c r="E147" s="3">
        <v>151.16669999999999</v>
      </c>
      <c r="F147" s="3" t="s">
        <v>17</v>
      </c>
      <c r="G147" s="3" t="s">
        <v>18</v>
      </c>
      <c r="H147" s="3">
        <v>53.04</v>
      </c>
      <c r="M147" s="3">
        <v>2</v>
      </c>
      <c r="N147" s="3">
        <v>1</v>
      </c>
      <c r="O147" s="3">
        <f>M147*N147</f>
        <v>2</v>
      </c>
    </row>
    <row r="148" spans="1:15" hidden="1">
      <c r="A148" s="3">
        <v>561011</v>
      </c>
      <c r="B148" s="3" t="s">
        <v>180</v>
      </c>
      <c r="C148" s="3" t="s">
        <v>160</v>
      </c>
      <c r="D148" s="3">
        <v>-32.3367</v>
      </c>
      <c r="E148" s="3">
        <v>151.47</v>
      </c>
      <c r="F148" s="3" t="s">
        <v>17</v>
      </c>
      <c r="G148" s="3" t="s">
        <v>18</v>
      </c>
      <c r="H148" s="3">
        <v>137.85</v>
      </c>
      <c r="M148" s="3">
        <v>1</v>
      </c>
      <c r="N148" s="3">
        <v>1</v>
      </c>
      <c r="O148" s="3">
        <f>M148*N148</f>
        <v>1</v>
      </c>
    </row>
    <row r="149" spans="1:15" hidden="1">
      <c r="A149" s="3">
        <v>561014</v>
      </c>
      <c r="B149" s="3" t="s">
        <v>181</v>
      </c>
      <c r="C149" s="3" t="s">
        <v>160</v>
      </c>
      <c r="D149" s="3">
        <v>-32.451700000000002</v>
      </c>
      <c r="E149" s="3">
        <v>151.14830000000001</v>
      </c>
      <c r="F149" s="3" t="s">
        <v>17</v>
      </c>
      <c r="G149" s="3" t="s">
        <v>18</v>
      </c>
      <c r="H149" s="3">
        <v>89.91</v>
      </c>
      <c r="M149" s="3">
        <v>1</v>
      </c>
      <c r="N149" s="3">
        <v>1</v>
      </c>
      <c r="O149" s="3">
        <f>M149*N149</f>
        <v>1</v>
      </c>
    </row>
    <row r="150" spans="1:15" hidden="1">
      <c r="A150" s="3">
        <v>561015</v>
      </c>
      <c r="B150" s="3" t="s">
        <v>182</v>
      </c>
      <c r="C150" s="3" t="s">
        <v>160</v>
      </c>
      <c r="D150" s="3">
        <v>-32.381900000000002</v>
      </c>
      <c r="E150" s="3">
        <v>150.71080000000001</v>
      </c>
      <c r="F150" s="3" t="s">
        <v>17</v>
      </c>
      <c r="G150" s="3" t="s">
        <v>21</v>
      </c>
      <c r="H150" s="3">
        <v>110.56</v>
      </c>
      <c r="I150" s="3">
        <v>111.07</v>
      </c>
      <c r="J150" s="3">
        <v>111.25</v>
      </c>
      <c r="K150" s="3">
        <v>111.43</v>
      </c>
      <c r="L150" s="3">
        <v>111.96</v>
      </c>
      <c r="M150" s="3">
        <v>1</v>
      </c>
      <c r="N150" s="3">
        <v>2</v>
      </c>
      <c r="O150" s="3">
        <v>2</v>
      </c>
    </row>
    <row r="151" spans="1:15" hidden="1">
      <c r="A151" s="3">
        <v>561016</v>
      </c>
      <c r="B151" s="3" t="s">
        <v>183</v>
      </c>
      <c r="C151" s="3" t="s">
        <v>160</v>
      </c>
      <c r="D151" s="3">
        <v>-32.666699999999999</v>
      </c>
      <c r="E151" s="3">
        <v>151.4</v>
      </c>
      <c r="F151" s="3" t="s">
        <v>17</v>
      </c>
      <c r="G151" s="3" t="s">
        <v>18</v>
      </c>
      <c r="H151" s="3">
        <v>90.36</v>
      </c>
      <c r="M151" s="3">
        <v>2</v>
      </c>
      <c r="N151" s="3">
        <v>1</v>
      </c>
      <c r="O151" s="3">
        <f>M151*N151</f>
        <v>2</v>
      </c>
    </row>
    <row r="152" spans="1:15" hidden="1">
      <c r="A152" s="3">
        <v>561017</v>
      </c>
      <c r="B152" s="3" t="s">
        <v>184</v>
      </c>
      <c r="C152" s="3" t="s">
        <v>160</v>
      </c>
      <c r="D152" s="3">
        <v>-32.491100000000003</v>
      </c>
      <c r="E152" s="3">
        <v>150.92250000000001</v>
      </c>
      <c r="F152" s="3" t="s">
        <v>17</v>
      </c>
      <c r="G152" s="3" t="s">
        <v>18</v>
      </c>
      <c r="H152" s="3">
        <v>70.58</v>
      </c>
      <c r="I152" s="3">
        <v>74.680000000000007</v>
      </c>
      <c r="J152" s="3">
        <v>75.12</v>
      </c>
      <c r="K152" s="3">
        <v>75.680000000000007</v>
      </c>
      <c r="L152" s="3">
        <v>77.94</v>
      </c>
      <c r="M152" s="3">
        <v>1</v>
      </c>
      <c r="N152" s="3">
        <v>1</v>
      </c>
      <c r="O152" s="3">
        <v>1</v>
      </c>
    </row>
    <row r="153" spans="1:15" hidden="1">
      <c r="A153" s="3">
        <v>561018</v>
      </c>
      <c r="B153" s="3" t="s">
        <v>185</v>
      </c>
      <c r="C153" s="3" t="s">
        <v>160</v>
      </c>
      <c r="D153" s="3">
        <v>-32.0122</v>
      </c>
      <c r="E153" s="3">
        <v>150.78280000000001</v>
      </c>
      <c r="F153" s="3" t="s">
        <v>17</v>
      </c>
      <c r="G153" s="3" t="s">
        <v>21</v>
      </c>
      <c r="H153" s="3">
        <v>227.17</v>
      </c>
      <c r="I153" s="3">
        <v>227.72</v>
      </c>
      <c r="J153" s="3">
        <v>227.74</v>
      </c>
      <c r="K153" s="3">
        <v>227.98</v>
      </c>
      <c r="L153" s="3">
        <v>229.07</v>
      </c>
      <c r="M153" s="3">
        <v>1</v>
      </c>
      <c r="N153" s="3">
        <v>1</v>
      </c>
      <c r="O153" s="3">
        <v>1</v>
      </c>
    </row>
    <row r="154" spans="1:15" hidden="1">
      <c r="A154" s="3">
        <v>561019</v>
      </c>
      <c r="B154" s="3" t="s">
        <v>186</v>
      </c>
      <c r="C154" s="3" t="s">
        <v>160</v>
      </c>
      <c r="D154" s="3">
        <v>-32.308300000000003</v>
      </c>
      <c r="E154" s="3">
        <v>151.51169999999999</v>
      </c>
      <c r="F154" s="3" t="s">
        <v>17</v>
      </c>
      <c r="G154" s="3" t="s">
        <v>21</v>
      </c>
      <c r="H154" s="3">
        <v>121.93</v>
      </c>
      <c r="I154" s="3">
        <v>124.95</v>
      </c>
      <c r="J154" s="3">
        <v>125.26</v>
      </c>
      <c r="K154" s="3">
        <v>126.1</v>
      </c>
      <c r="L154" s="3">
        <v>128.30000000000001</v>
      </c>
      <c r="M154" s="3">
        <v>1</v>
      </c>
      <c r="N154" s="3">
        <v>1</v>
      </c>
      <c r="O154" s="3">
        <v>1</v>
      </c>
    </row>
    <row r="155" spans="1:15" hidden="1">
      <c r="A155" s="3">
        <v>561020</v>
      </c>
      <c r="B155" s="3" t="s">
        <v>187</v>
      </c>
      <c r="C155" s="3" t="s">
        <v>160</v>
      </c>
      <c r="D155" s="3">
        <v>-32.544499999999999</v>
      </c>
      <c r="E155" s="3">
        <v>151.59200000000001</v>
      </c>
      <c r="F155" s="3" t="s">
        <v>17</v>
      </c>
      <c r="G155" s="3" t="s">
        <v>18</v>
      </c>
      <c r="H155" s="3">
        <v>21.65</v>
      </c>
      <c r="M155" s="3">
        <v>2</v>
      </c>
      <c r="N155" s="3">
        <v>1</v>
      </c>
      <c r="O155" s="3">
        <f>M155*N155</f>
        <v>2</v>
      </c>
    </row>
    <row r="156" spans="1:15">
      <c r="A156" s="3">
        <v>561021</v>
      </c>
      <c r="B156" s="3" t="s">
        <v>188</v>
      </c>
      <c r="C156" s="3" t="s">
        <v>160</v>
      </c>
      <c r="D156" s="3">
        <v>-32.7333</v>
      </c>
      <c r="E156" s="3">
        <v>151.69999999999999</v>
      </c>
      <c r="F156" s="3" t="s">
        <v>17</v>
      </c>
      <c r="G156" s="3" t="s">
        <v>49</v>
      </c>
      <c r="H156" s="3">
        <v>2.62</v>
      </c>
      <c r="I156" s="3">
        <v>3.73</v>
      </c>
      <c r="J156" s="3">
        <v>3.93</v>
      </c>
      <c r="K156" s="3">
        <v>4.2</v>
      </c>
      <c r="L156" s="3">
        <v>4.59</v>
      </c>
      <c r="M156" s="3">
        <v>2</v>
      </c>
      <c r="N156" s="3">
        <v>2</v>
      </c>
      <c r="O156" s="3">
        <v>4</v>
      </c>
    </row>
    <row r="157" spans="1:15">
      <c r="A157" s="3">
        <v>561023</v>
      </c>
      <c r="B157" s="3" t="s">
        <v>189</v>
      </c>
      <c r="C157" s="3" t="s">
        <v>160</v>
      </c>
      <c r="D157" s="3">
        <v>-32.718299999999999</v>
      </c>
      <c r="E157" s="3">
        <v>151.65</v>
      </c>
      <c r="F157" s="3" t="s">
        <v>17</v>
      </c>
      <c r="G157" s="3" t="s">
        <v>49</v>
      </c>
      <c r="H157" s="3">
        <v>2.7</v>
      </c>
      <c r="I157" s="3">
        <v>4.7</v>
      </c>
      <c r="J157" s="3">
        <v>4.8600000000000003</v>
      </c>
      <c r="K157" s="3">
        <v>5.14</v>
      </c>
      <c r="L157" s="3">
        <v>5.56</v>
      </c>
      <c r="M157" s="3">
        <v>2</v>
      </c>
      <c r="N157" s="3">
        <v>2</v>
      </c>
      <c r="O157" s="3">
        <v>4</v>
      </c>
    </row>
    <row r="158" spans="1:15" hidden="1">
      <c r="A158" s="3">
        <v>561024</v>
      </c>
      <c r="B158" s="3" t="s">
        <v>190</v>
      </c>
      <c r="C158" s="3" t="s">
        <v>160</v>
      </c>
      <c r="D158" s="3">
        <v>-32.158799999999999</v>
      </c>
      <c r="E158" s="3">
        <v>150.8811</v>
      </c>
      <c r="F158" s="3" t="s">
        <v>17</v>
      </c>
      <c r="G158" s="3" t="s">
        <v>21</v>
      </c>
      <c r="H158" s="3">
        <v>159.5</v>
      </c>
      <c r="I158" s="3">
        <v>159.74</v>
      </c>
      <c r="J158" s="3">
        <v>159.80000000000001</v>
      </c>
      <c r="K158" s="3">
        <v>159.84</v>
      </c>
      <c r="L158" s="3">
        <v>159.97</v>
      </c>
      <c r="M158" s="3">
        <v>1</v>
      </c>
      <c r="N158" s="3">
        <v>1</v>
      </c>
      <c r="O158" s="3">
        <v>1</v>
      </c>
    </row>
    <row r="159" spans="1:15" hidden="1">
      <c r="A159" s="3">
        <v>561032</v>
      </c>
      <c r="B159" s="3" t="s">
        <v>191</v>
      </c>
      <c r="C159" s="3" t="s">
        <v>160</v>
      </c>
      <c r="D159" s="3">
        <v>-32.601700000000001</v>
      </c>
      <c r="E159" s="3">
        <v>151.61670000000001</v>
      </c>
      <c r="F159" s="3" t="s">
        <v>17</v>
      </c>
      <c r="G159" s="3" t="s">
        <v>49</v>
      </c>
      <c r="H159" s="3">
        <v>7.49</v>
      </c>
      <c r="I159" s="3">
        <v>9.01</v>
      </c>
      <c r="J159" s="3">
        <v>9.34</v>
      </c>
      <c r="K159" s="3">
        <v>9.8000000000000007</v>
      </c>
      <c r="L159" s="3">
        <v>10.45</v>
      </c>
      <c r="M159" s="3">
        <v>2</v>
      </c>
      <c r="N159" s="3">
        <v>1</v>
      </c>
      <c r="O159" s="3">
        <v>2</v>
      </c>
    </row>
    <row r="160" spans="1:15" hidden="1">
      <c r="A160" s="3">
        <v>561033</v>
      </c>
      <c r="B160" s="3" t="s">
        <v>192</v>
      </c>
      <c r="C160" s="3" t="s">
        <v>160</v>
      </c>
      <c r="D160" s="3">
        <v>-32.320300000000003</v>
      </c>
      <c r="E160" s="3">
        <v>151.68639999999999</v>
      </c>
      <c r="F160" s="3" t="s">
        <v>17</v>
      </c>
      <c r="G160" s="3" t="s">
        <v>18</v>
      </c>
      <c r="H160" s="3">
        <v>102.58</v>
      </c>
      <c r="I160" s="3">
        <v>108.82</v>
      </c>
      <c r="J160" s="3">
        <v>109.19</v>
      </c>
      <c r="K160" s="3">
        <v>109.95</v>
      </c>
      <c r="L160" s="3">
        <v>111.93</v>
      </c>
      <c r="M160" s="3">
        <v>1</v>
      </c>
      <c r="N160" s="3">
        <v>1</v>
      </c>
      <c r="O160" s="3">
        <v>1</v>
      </c>
    </row>
    <row r="161" spans="1:15" hidden="1">
      <c r="A161" s="3">
        <v>561037</v>
      </c>
      <c r="B161" s="3" t="s">
        <v>193</v>
      </c>
      <c r="C161" s="3" t="s">
        <v>160</v>
      </c>
      <c r="D161" s="3">
        <v>-32.7667</v>
      </c>
      <c r="E161" s="3">
        <v>151.75</v>
      </c>
      <c r="F161" s="3" t="s">
        <v>17</v>
      </c>
      <c r="G161" s="3" t="s">
        <v>18</v>
      </c>
      <c r="H161" s="3">
        <v>19.29</v>
      </c>
      <c r="M161" s="3">
        <v>2</v>
      </c>
      <c r="N161" s="3">
        <v>1</v>
      </c>
      <c r="O161" s="3">
        <f>M161*N161</f>
        <v>2</v>
      </c>
    </row>
    <row r="162" spans="1:15" hidden="1">
      <c r="A162" s="3">
        <v>561039</v>
      </c>
      <c r="B162" s="3" t="s">
        <v>194</v>
      </c>
      <c r="C162" s="3" t="s">
        <v>160</v>
      </c>
      <c r="D162" s="3">
        <v>-32.695099999999996</v>
      </c>
      <c r="E162" s="3">
        <v>151.56909999999999</v>
      </c>
      <c r="F162" s="3" t="s">
        <v>17</v>
      </c>
      <c r="G162" s="3" t="s">
        <v>18</v>
      </c>
      <c r="H162" s="3">
        <v>0.43</v>
      </c>
      <c r="I162" s="3">
        <v>11.84</v>
      </c>
      <c r="J162" s="3">
        <v>12.18</v>
      </c>
      <c r="K162" s="3">
        <v>12.43</v>
      </c>
      <c r="L162" s="3">
        <v>12.43</v>
      </c>
      <c r="M162" s="3">
        <v>2</v>
      </c>
      <c r="N162" s="3">
        <v>1</v>
      </c>
      <c r="O162" s="3">
        <v>2</v>
      </c>
    </row>
    <row r="163" spans="1:15" hidden="1">
      <c r="A163" s="3">
        <v>561042</v>
      </c>
      <c r="B163" s="3" t="s">
        <v>195</v>
      </c>
      <c r="C163" s="3" t="s">
        <v>160</v>
      </c>
      <c r="D163" s="3">
        <v>-32.001800000000003</v>
      </c>
      <c r="E163" s="3">
        <v>151.1104</v>
      </c>
      <c r="F163" s="3" t="s">
        <v>17</v>
      </c>
      <c r="G163" s="3" t="s">
        <v>18</v>
      </c>
      <c r="H163" s="3">
        <v>292.83999999999997</v>
      </c>
      <c r="I163" s="3">
        <v>297.05</v>
      </c>
      <c r="J163" s="3">
        <v>297.36</v>
      </c>
      <c r="K163" s="3">
        <v>298.2</v>
      </c>
      <c r="L163" s="3">
        <v>300.7</v>
      </c>
      <c r="M163" s="3">
        <v>1</v>
      </c>
      <c r="N163" s="3">
        <v>1</v>
      </c>
      <c r="O163" s="3">
        <v>1</v>
      </c>
    </row>
    <row r="164" spans="1:15" hidden="1">
      <c r="A164" s="3">
        <v>561045</v>
      </c>
      <c r="B164" s="3" t="s">
        <v>196</v>
      </c>
      <c r="C164" s="3" t="s">
        <v>160</v>
      </c>
      <c r="D164" s="3">
        <v>-32.365000000000002</v>
      </c>
      <c r="E164" s="3">
        <v>151.23859999999999</v>
      </c>
      <c r="F164" s="3" t="s">
        <v>17</v>
      </c>
      <c r="G164" s="3" t="s">
        <v>18</v>
      </c>
      <c r="H164" s="3">
        <v>130.55000000000001</v>
      </c>
      <c r="I164" s="3">
        <v>131.08000000000001</v>
      </c>
      <c r="J164" s="3">
        <v>131.25</v>
      </c>
      <c r="K164" s="3">
        <v>131.86000000000001</v>
      </c>
      <c r="L164" s="3">
        <v>133.08000000000001</v>
      </c>
      <c r="M164" s="3">
        <v>1</v>
      </c>
      <c r="N164" s="3">
        <v>1</v>
      </c>
      <c r="O164" s="3">
        <v>1</v>
      </c>
    </row>
    <row r="165" spans="1:15">
      <c r="A165" s="3">
        <v>561046</v>
      </c>
      <c r="B165" s="3" t="s">
        <v>197</v>
      </c>
      <c r="C165" s="3" t="s">
        <v>160</v>
      </c>
      <c r="D165" s="3">
        <v>-32.722000000000001</v>
      </c>
      <c r="E165" s="3">
        <v>151.33000000000001</v>
      </c>
      <c r="F165" s="3" t="s">
        <v>17</v>
      </c>
      <c r="G165" s="3" t="s">
        <v>49</v>
      </c>
      <c r="H165" s="3">
        <v>39.159999999999997</v>
      </c>
      <c r="I165" s="3">
        <v>39.590000000000003</v>
      </c>
      <c r="J165" s="3">
        <v>39.86</v>
      </c>
      <c r="K165" s="3">
        <v>40.549999999999997</v>
      </c>
      <c r="L165" s="3">
        <v>41.86</v>
      </c>
      <c r="M165" s="3">
        <v>2</v>
      </c>
      <c r="N165" s="3">
        <v>3</v>
      </c>
      <c r="O165" s="3">
        <v>6</v>
      </c>
    </row>
    <row r="166" spans="1:15" hidden="1">
      <c r="A166" s="3">
        <v>561051</v>
      </c>
      <c r="B166" s="3" t="s">
        <v>198</v>
      </c>
      <c r="C166" s="3" t="s">
        <v>160</v>
      </c>
      <c r="D166" s="3">
        <v>-32.4863</v>
      </c>
      <c r="E166" s="3">
        <v>151.0478</v>
      </c>
      <c r="F166" s="3" t="s">
        <v>17</v>
      </c>
      <c r="G166" s="3" t="s">
        <v>175</v>
      </c>
      <c r="H166" s="3">
        <v>62.34</v>
      </c>
      <c r="I166" s="3">
        <v>63.77</v>
      </c>
      <c r="J166" s="3">
        <v>64.09</v>
      </c>
      <c r="K166" s="3">
        <v>64.52</v>
      </c>
      <c r="L166" s="3">
        <v>65.09</v>
      </c>
      <c r="M166" s="3">
        <v>1</v>
      </c>
      <c r="N166" s="3">
        <v>2</v>
      </c>
      <c r="O166" s="3">
        <v>2</v>
      </c>
    </row>
    <row r="167" spans="1:15" hidden="1">
      <c r="A167" s="3">
        <v>561052</v>
      </c>
      <c r="B167" s="3" t="s">
        <v>199</v>
      </c>
      <c r="C167" s="3" t="s">
        <v>160</v>
      </c>
      <c r="D167" s="3">
        <v>-32.500799999999998</v>
      </c>
      <c r="E167" s="3">
        <v>151.06059999999999</v>
      </c>
      <c r="F167" s="3" t="s">
        <v>17</v>
      </c>
      <c r="G167" s="3" t="s">
        <v>18</v>
      </c>
      <c r="H167" s="3">
        <v>83.1</v>
      </c>
      <c r="M167" s="3">
        <v>2</v>
      </c>
      <c r="N167" s="3">
        <v>1</v>
      </c>
      <c r="O167" s="3">
        <f>M167*N167</f>
        <v>2</v>
      </c>
    </row>
    <row r="168" spans="1:15">
      <c r="A168" s="3">
        <v>561053</v>
      </c>
      <c r="B168" s="3" t="s">
        <v>200</v>
      </c>
      <c r="C168" s="3" t="s">
        <v>160</v>
      </c>
      <c r="D168" s="3">
        <v>-32.532499999999999</v>
      </c>
      <c r="E168" s="3">
        <v>151.04750000000001</v>
      </c>
      <c r="F168" s="3" t="s">
        <v>17</v>
      </c>
      <c r="G168" s="3" t="s">
        <v>18</v>
      </c>
      <c r="H168" s="3">
        <v>61.26</v>
      </c>
      <c r="I168" s="3">
        <v>61.83</v>
      </c>
      <c r="J168" s="3">
        <v>61.83</v>
      </c>
      <c r="K168" s="3">
        <v>61.83</v>
      </c>
      <c r="L168" s="3">
        <v>61.83</v>
      </c>
      <c r="M168" s="3">
        <v>2</v>
      </c>
      <c r="N168" s="3">
        <v>2</v>
      </c>
      <c r="O168" s="3">
        <v>4</v>
      </c>
    </row>
    <row r="169" spans="1:15" hidden="1">
      <c r="A169" s="3">
        <v>561054</v>
      </c>
      <c r="B169" s="3" t="s">
        <v>201</v>
      </c>
      <c r="C169" s="3" t="s">
        <v>160</v>
      </c>
      <c r="D169" s="3">
        <v>-32.569699999999997</v>
      </c>
      <c r="E169" s="3">
        <v>151.15809999999999</v>
      </c>
      <c r="F169" s="3" t="s">
        <v>17</v>
      </c>
      <c r="G169" s="3" t="s">
        <v>18</v>
      </c>
      <c r="H169" s="3">
        <v>33.74</v>
      </c>
      <c r="I169" s="3">
        <v>41.8</v>
      </c>
      <c r="J169" s="3">
        <v>42</v>
      </c>
      <c r="K169" s="3">
        <v>42.23</v>
      </c>
      <c r="L169" s="3">
        <v>42.46</v>
      </c>
      <c r="M169" s="3">
        <v>2</v>
      </c>
      <c r="N169" s="3">
        <v>1</v>
      </c>
      <c r="O169" s="3">
        <v>2</v>
      </c>
    </row>
    <row r="170" spans="1:15" hidden="1">
      <c r="A170" s="3">
        <v>561057</v>
      </c>
      <c r="B170" s="3" t="s">
        <v>202</v>
      </c>
      <c r="C170" s="3" t="s">
        <v>160</v>
      </c>
      <c r="D170" s="3">
        <v>-32.561100000000003</v>
      </c>
      <c r="E170" s="3">
        <v>151.13640000000001</v>
      </c>
      <c r="F170" s="3" t="s">
        <v>17</v>
      </c>
      <c r="G170" s="3" t="s">
        <v>18</v>
      </c>
      <c r="H170" s="3">
        <v>50.84</v>
      </c>
      <c r="I170" s="3">
        <v>51.61</v>
      </c>
      <c r="J170" s="3">
        <v>51.99</v>
      </c>
      <c r="K170" s="3">
        <v>52.35</v>
      </c>
      <c r="L170" s="3">
        <v>52.65</v>
      </c>
      <c r="M170" s="3">
        <v>2</v>
      </c>
      <c r="N170" s="3">
        <v>1</v>
      </c>
      <c r="O170" s="3">
        <v>2</v>
      </c>
    </row>
    <row r="171" spans="1:15" hidden="1">
      <c r="A171" s="3">
        <v>561058</v>
      </c>
      <c r="B171" s="3" t="s">
        <v>203</v>
      </c>
      <c r="C171" s="3" t="s">
        <v>160</v>
      </c>
      <c r="D171" s="3">
        <v>-32.849699999999999</v>
      </c>
      <c r="E171" s="3">
        <v>151.0581</v>
      </c>
      <c r="F171" s="3" t="s">
        <v>17</v>
      </c>
      <c r="G171" s="3" t="s">
        <v>18</v>
      </c>
      <c r="H171" s="3">
        <v>132.41999999999999</v>
      </c>
      <c r="M171" s="3">
        <v>2</v>
      </c>
      <c r="N171" s="3">
        <v>1</v>
      </c>
      <c r="O171" s="3">
        <f>M171*N171</f>
        <v>2</v>
      </c>
    </row>
    <row r="172" spans="1:15" hidden="1">
      <c r="A172" s="3">
        <v>561059</v>
      </c>
      <c r="B172" s="3" t="s">
        <v>204</v>
      </c>
      <c r="C172" s="3" t="s">
        <v>160</v>
      </c>
      <c r="D172" s="3">
        <v>-32.202500000000001</v>
      </c>
      <c r="E172" s="3">
        <v>151.6317</v>
      </c>
      <c r="F172" s="3" t="s">
        <v>17</v>
      </c>
      <c r="G172" s="3" t="s">
        <v>18</v>
      </c>
      <c r="H172" s="3">
        <v>196.21</v>
      </c>
      <c r="M172" s="3">
        <v>1</v>
      </c>
      <c r="N172" s="3">
        <v>1</v>
      </c>
      <c r="O172" s="3">
        <f>M172*N172</f>
        <v>1</v>
      </c>
    </row>
    <row r="173" spans="1:15" hidden="1">
      <c r="A173" s="3">
        <v>561100</v>
      </c>
      <c r="B173" s="3" t="s">
        <v>205</v>
      </c>
      <c r="C173" s="3" t="s">
        <v>160</v>
      </c>
      <c r="D173" s="3">
        <v>-31.890599999999999</v>
      </c>
      <c r="E173" s="3">
        <v>150.87450000000001</v>
      </c>
      <c r="F173" s="3" t="s">
        <v>17</v>
      </c>
      <c r="G173" s="3" t="s">
        <v>21</v>
      </c>
      <c r="H173" s="3">
        <v>299.44</v>
      </c>
      <c r="I173" s="3">
        <v>301.12</v>
      </c>
      <c r="J173" s="3">
        <v>301.22000000000003</v>
      </c>
      <c r="K173" s="3">
        <v>301.55</v>
      </c>
      <c r="L173" s="3">
        <v>302.36</v>
      </c>
      <c r="M173" s="3">
        <v>1</v>
      </c>
      <c r="N173" s="3">
        <v>2</v>
      </c>
      <c r="O173" s="3">
        <v>2</v>
      </c>
    </row>
    <row r="174" spans="1:15" hidden="1">
      <c r="A174" s="3">
        <v>561130</v>
      </c>
      <c r="B174" s="3" t="s">
        <v>206</v>
      </c>
      <c r="C174" s="3" t="s">
        <v>160</v>
      </c>
      <c r="D174" s="3">
        <v>-32.296300000000002</v>
      </c>
      <c r="E174" s="3">
        <v>150.33420000000001</v>
      </c>
      <c r="F174" s="3" t="s">
        <v>17</v>
      </c>
      <c r="G174" s="3" t="s">
        <v>18</v>
      </c>
      <c r="H174" s="3">
        <v>186.07</v>
      </c>
      <c r="I174" s="3">
        <v>190.21</v>
      </c>
      <c r="J174" s="3">
        <v>190.53</v>
      </c>
      <c r="K174" s="3">
        <v>191.5</v>
      </c>
      <c r="L174" s="3">
        <v>194.45</v>
      </c>
      <c r="M174" s="3">
        <v>1</v>
      </c>
      <c r="N174" s="3">
        <v>1</v>
      </c>
      <c r="O174" s="3">
        <v>1</v>
      </c>
    </row>
    <row r="175" spans="1:15" hidden="1">
      <c r="A175" s="3">
        <v>561159</v>
      </c>
      <c r="B175" s="3" t="s">
        <v>207</v>
      </c>
      <c r="C175" s="3" t="s">
        <v>160</v>
      </c>
      <c r="D175" s="3">
        <v>-31.966999999999999</v>
      </c>
      <c r="E175" s="3">
        <v>151.00790000000001</v>
      </c>
      <c r="F175" s="3" t="s">
        <v>17</v>
      </c>
      <c r="G175" s="3" t="s">
        <v>49</v>
      </c>
      <c r="H175" s="3">
        <v>249.29</v>
      </c>
      <c r="I175" s="3">
        <v>249.67</v>
      </c>
      <c r="J175" s="3">
        <v>249.79</v>
      </c>
      <c r="K175" s="3">
        <v>250.16</v>
      </c>
      <c r="L175" s="3">
        <v>252.07</v>
      </c>
      <c r="M175" s="3">
        <v>1</v>
      </c>
      <c r="N175" s="3">
        <v>1</v>
      </c>
      <c r="O175" s="3">
        <v>1</v>
      </c>
    </row>
    <row r="176" spans="1:15" hidden="1">
      <c r="A176" s="3">
        <v>561161</v>
      </c>
      <c r="B176" s="3" t="s">
        <v>208</v>
      </c>
      <c r="C176" s="3" t="s">
        <v>160</v>
      </c>
      <c r="D176" s="3">
        <v>-31.9679</v>
      </c>
      <c r="E176" s="3">
        <v>151.0359</v>
      </c>
      <c r="F176" s="3" t="s">
        <v>17</v>
      </c>
      <c r="G176" s="3" t="s">
        <v>52</v>
      </c>
      <c r="H176" s="3">
        <v>262.69</v>
      </c>
      <c r="I176" s="3">
        <v>263.27999999999997</v>
      </c>
      <c r="J176" s="3">
        <v>263.47000000000003</v>
      </c>
      <c r="K176" s="3">
        <v>264.16000000000003</v>
      </c>
      <c r="L176" s="3">
        <v>266.3</v>
      </c>
      <c r="M176" s="3">
        <v>1</v>
      </c>
      <c r="N176" s="3">
        <v>1</v>
      </c>
      <c r="O176" s="3">
        <v>1</v>
      </c>
    </row>
    <row r="177" spans="1:15" hidden="1">
      <c r="A177" s="3">
        <v>561166</v>
      </c>
      <c r="B177" s="3" t="s">
        <v>209</v>
      </c>
      <c r="C177" s="3" t="s">
        <v>160</v>
      </c>
      <c r="D177" s="3">
        <v>-32.990099999999998</v>
      </c>
      <c r="E177" s="3">
        <v>151.13249999999999</v>
      </c>
      <c r="F177" s="3" t="s">
        <v>17</v>
      </c>
      <c r="G177" s="3" t="s">
        <v>175</v>
      </c>
      <c r="H177" s="3">
        <v>97.52</v>
      </c>
      <c r="I177" s="3">
        <v>99.81</v>
      </c>
      <c r="J177" s="3">
        <v>99.99</v>
      </c>
      <c r="K177" s="3">
        <v>100.5</v>
      </c>
      <c r="L177" s="3">
        <v>101.94</v>
      </c>
      <c r="M177" s="3">
        <v>2</v>
      </c>
      <c r="N177" s="3">
        <v>1</v>
      </c>
      <c r="O177" s="3">
        <v>2</v>
      </c>
    </row>
    <row r="178" spans="1:15" hidden="1">
      <c r="A178" s="3">
        <v>561167</v>
      </c>
      <c r="B178" s="3" t="s">
        <v>210</v>
      </c>
      <c r="C178" s="3" t="s">
        <v>160</v>
      </c>
      <c r="D178" s="3">
        <v>-32.978299999999997</v>
      </c>
      <c r="E178" s="3">
        <v>151.24629999999999</v>
      </c>
      <c r="F178" s="3" t="s">
        <v>17</v>
      </c>
      <c r="G178" s="3" t="s">
        <v>211</v>
      </c>
      <c r="H178" s="3">
        <v>514.08000000000004</v>
      </c>
      <c r="M178" s="3">
        <v>1</v>
      </c>
      <c r="N178" s="3">
        <v>1</v>
      </c>
      <c r="O178" s="3">
        <f>M178*N178</f>
        <v>1</v>
      </c>
    </row>
    <row r="179" spans="1:15" hidden="1">
      <c r="A179" s="3">
        <v>561169</v>
      </c>
      <c r="B179" s="3" t="s">
        <v>212</v>
      </c>
      <c r="C179" s="3" t="s">
        <v>160</v>
      </c>
      <c r="D179" s="3">
        <v>-32.933999999999997</v>
      </c>
      <c r="E179" s="3">
        <v>151.13399999999999</v>
      </c>
      <c r="F179" s="3" t="s">
        <v>17</v>
      </c>
      <c r="G179" s="3" t="s">
        <v>18</v>
      </c>
      <c r="H179" s="3">
        <v>88.65</v>
      </c>
      <c r="I179" s="3">
        <v>97.89</v>
      </c>
      <c r="J179" s="3">
        <v>98.57</v>
      </c>
      <c r="K179" s="3">
        <v>99.48</v>
      </c>
      <c r="L179" s="3">
        <v>100.19</v>
      </c>
      <c r="M179" s="3">
        <v>2</v>
      </c>
      <c r="N179" s="3">
        <v>1</v>
      </c>
      <c r="O179" s="3">
        <v>2</v>
      </c>
    </row>
    <row r="180" spans="1:15" hidden="1">
      <c r="A180" s="3">
        <v>572003</v>
      </c>
      <c r="B180" s="3" t="s">
        <v>213</v>
      </c>
      <c r="C180" s="3" t="s">
        <v>214</v>
      </c>
      <c r="D180" s="3">
        <v>-36.115000000000002</v>
      </c>
      <c r="E180" s="3">
        <v>146.9383</v>
      </c>
      <c r="F180" s="3" t="s">
        <v>17</v>
      </c>
      <c r="G180" s="3" t="s">
        <v>18</v>
      </c>
      <c r="H180" s="3">
        <v>154.41</v>
      </c>
      <c r="I180" s="3">
        <v>156.72999999999999</v>
      </c>
      <c r="J180" s="3">
        <v>156.97</v>
      </c>
      <c r="K180" s="3">
        <v>157.28</v>
      </c>
      <c r="L180" s="3">
        <v>157.66999999999999</v>
      </c>
      <c r="M180" s="3">
        <v>1</v>
      </c>
      <c r="N180" s="3">
        <v>2</v>
      </c>
      <c r="O180" s="3">
        <v>2</v>
      </c>
    </row>
    <row r="181" spans="1:15" hidden="1">
      <c r="A181" s="3">
        <v>63278</v>
      </c>
      <c r="B181" s="3" t="s">
        <v>215</v>
      </c>
      <c r="C181" s="3" t="s">
        <v>216</v>
      </c>
      <c r="D181" s="3">
        <v>-33.8367</v>
      </c>
      <c r="E181" s="3">
        <v>148.68170000000001</v>
      </c>
      <c r="F181" s="3" t="s">
        <v>17</v>
      </c>
      <c r="G181" s="3" t="s">
        <v>18</v>
      </c>
      <c r="H181" s="3">
        <v>293.89</v>
      </c>
      <c r="I181" s="3">
        <v>295.08999999999997</v>
      </c>
      <c r="J181" s="3">
        <v>295.3</v>
      </c>
      <c r="K181" s="3">
        <v>295.64</v>
      </c>
      <c r="L181" s="3">
        <v>296.77</v>
      </c>
      <c r="M181" s="3">
        <v>1</v>
      </c>
      <c r="N181" s="3">
        <v>1</v>
      </c>
      <c r="O181" s="3">
        <v>1</v>
      </c>
    </row>
    <row r="182" spans="1:15" hidden="1">
      <c r="A182" s="3">
        <v>65084</v>
      </c>
      <c r="B182" s="3" t="s">
        <v>217</v>
      </c>
      <c r="C182" s="3" t="s">
        <v>216</v>
      </c>
      <c r="D182" s="3">
        <v>-33.371099999999998</v>
      </c>
      <c r="E182" s="3">
        <v>148.5917</v>
      </c>
      <c r="F182" s="3" t="s">
        <v>17</v>
      </c>
      <c r="G182" s="3" t="s">
        <v>21</v>
      </c>
      <c r="H182" s="3">
        <v>322.08</v>
      </c>
      <c r="I182" s="3">
        <v>327.02</v>
      </c>
      <c r="J182" s="3">
        <v>328.03</v>
      </c>
      <c r="K182" s="3">
        <v>331.38</v>
      </c>
      <c r="L182" s="3">
        <v>334.08</v>
      </c>
      <c r="M182" s="3">
        <v>1</v>
      </c>
      <c r="N182" s="3">
        <v>2</v>
      </c>
      <c r="O182" s="3">
        <v>2</v>
      </c>
    </row>
    <row r="183" spans="1:15" hidden="1">
      <c r="A183" s="3">
        <v>65088</v>
      </c>
      <c r="B183" s="3" t="s">
        <v>218</v>
      </c>
      <c r="C183" s="3" t="s">
        <v>216</v>
      </c>
      <c r="D183" s="3">
        <v>-33.4</v>
      </c>
      <c r="E183" s="3">
        <v>148.01669999999999</v>
      </c>
      <c r="F183" s="3" t="s">
        <v>17</v>
      </c>
      <c r="G183" s="3" t="s">
        <v>18</v>
      </c>
      <c r="H183" s="3">
        <v>236.7</v>
      </c>
      <c r="M183" s="3">
        <v>2</v>
      </c>
      <c r="N183" s="3">
        <v>1</v>
      </c>
      <c r="O183" s="3">
        <f>M183*N183</f>
        <v>2</v>
      </c>
    </row>
    <row r="184" spans="1:15" hidden="1">
      <c r="A184" s="3">
        <v>65095</v>
      </c>
      <c r="B184" s="3" t="s">
        <v>219</v>
      </c>
      <c r="C184" s="3" t="s">
        <v>216</v>
      </c>
      <c r="D184" s="3">
        <v>-33.383299999999998</v>
      </c>
      <c r="E184" s="3">
        <v>148.44999999999999</v>
      </c>
      <c r="F184" s="3" t="s">
        <v>17</v>
      </c>
      <c r="G184" s="3" t="s">
        <v>18</v>
      </c>
      <c r="H184" s="3">
        <v>291.87</v>
      </c>
      <c r="L184" s="3">
        <v>294.58999999999997</v>
      </c>
      <c r="M184" s="3">
        <v>1</v>
      </c>
      <c r="N184" s="3">
        <v>1</v>
      </c>
      <c r="O184" s="3">
        <f>M184*N184</f>
        <v>1</v>
      </c>
    </row>
    <row r="185" spans="1:15" hidden="1">
      <c r="A185" s="3">
        <v>70333</v>
      </c>
      <c r="B185" s="3" t="s">
        <v>220</v>
      </c>
      <c r="C185" s="3" t="s">
        <v>216</v>
      </c>
      <c r="D185" s="3">
        <v>-34.397300000000001</v>
      </c>
      <c r="E185" s="3">
        <v>149.0908</v>
      </c>
      <c r="F185" s="3" t="s">
        <v>17</v>
      </c>
      <c r="G185" s="3" t="s">
        <v>21</v>
      </c>
      <c r="H185" s="3">
        <v>461.82</v>
      </c>
      <c r="M185" s="3">
        <v>1</v>
      </c>
      <c r="N185" s="3">
        <v>1</v>
      </c>
      <c r="O185" s="3">
        <f>M185*N185</f>
        <v>1</v>
      </c>
    </row>
    <row r="186" spans="1:15" hidden="1">
      <c r="A186" s="3">
        <v>75171</v>
      </c>
      <c r="B186" s="3" t="s">
        <v>221</v>
      </c>
      <c r="C186" s="3" t="s">
        <v>216</v>
      </c>
      <c r="D186" s="3">
        <v>-33.866700000000002</v>
      </c>
      <c r="E186" s="3">
        <v>144.88329999999999</v>
      </c>
      <c r="F186" s="3" t="s">
        <v>17</v>
      </c>
      <c r="G186" s="3" t="s">
        <v>18</v>
      </c>
      <c r="H186" s="3">
        <v>91.82</v>
      </c>
      <c r="M186" s="3">
        <v>1</v>
      </c>
      <c r="N186" s="3">
        <v>1</v>
      </c>
      <c r="O186" s="3">
        <f>M186*N186</f>
        <v>1</v>
      </c>
    </row>
    <row r="187" spans="1:15" hidden="1">
      <c r="A187" s="3">
        <v>550000</v>
      </c>
      <c r="B187" s="3" t="s">
        <v>222</v>
      </c>
      <c r="C187" s="3" t="s">
        <v>216</v>
      </c>
      <c r="D187" s="3">
        <v>-33.1</v>
      </c>
      <c r="E187" s="3">
        <v>147.15</v>
      </c>
      <c r="F187" s="3" t="s">
        <v>17</v>
      </c>
      <c r="G187" s="3" t="s">
        <v>18</v>
      </c>
      <c r="H187" s="3">
        <v>189.73</v>
      </c>
      <c r="I187" s="3">
        <v>192.27</v>
      </c>
      <c r="J187" s="3">
        <v>192.57</v>
      </c>
      <c r="K187" s="3">
        <v>192.85</v>
      </c>
      <c r="L187" s="3">
        <v>193.2</v>
      </c>
      <c r="M187" s="3">
        <v>2</v>
      </c>
      <c r="N187" s="3">
        <v>1</v>
      </c>
      <c r="O187" s="3">
        <v>2</v>
      </c>
    </row>
    <row r="188" spans="1:15" hidden="1">
      <c r="A188" s="3">
        <v>563014</v>
      </c>
      <c r="B188" s="3" t="s">
        <v>223</v>
      </c>
      <c r="C188" s="3" t="s">
        <v>216</v>
      </c>
      <c r="D188" s="3">
        <v>-33.581899999999997</v>
      </c>
      <c r="E188" s="3">
        <v>148.84719999999999</v>
      </c>
      <c r="F188" s="3" t="s">
        <v>17</v>
      </c>
      <c r="G188" s="3" t="s">
        <v>18</v>
      </c>
      <c r="H188" s="3">
        <v>387.64</v>
      </c>
      <c r="M188" s="3">
        <v>1</v>
      </c>
      <c r="N188" s="3">
        <v>1</v>
      </c>
      <c r="O188" s="3">
        <f>M188*N188</f>
        <v>1</v>
      </c>
    </row>
    <row r="189" spans="1:15" hidden="1">
      <c r="A189" s="3">
        <v>563018</v>
      </c>
      <c r="B189" s="3" t="s">
        <v>224</v>
      </c>
      <c r="C189" s="3" t="s">
        <v>216</v>
      </c>
      <c r="D189" s="3">
        <v>-34.113900000000001</v>
      </c>
      <c r="E189" s="3">
        <v>149.59719999999999</v>
      </c>
      <c r="F189" s="3" t="s">
        <v>17</v>
      </c>
      <c r="G189" s="3" t="s">
        <v>18</v>
      </c>
      <c r="H189" s="3">
        <v>567.22</v>
      </c>
      <c r="M189" s="3">
        <v>1</v>
      </c>
      <c r="N189" s="3">
        <v>1</v>
      </c>
      <c r="O189" s="3">
        <f>M189*N189</f>
        <v>1</v>
      </c>
    </row>
    <row r="190" spans="1:15" hidden="1">
      <c r="A190" s="3">
        <v>563091</v>
      </c>
      <c r="B190" s="3" t="s">
        <v>225</v>
      </c>
      <c r="C190" s="3" t="s">
        <v>216</v>
      </c>
      <c r="D190" s="3">
        <v>-33.956499999999998</v>
      </c>
      <c r="E190" s="3">
        <v>149.3159</v>
      </c>
      <c r="F190" s="3" t="s">
        <v>17</v>
      </c>
      <c r="G190" s="3" t="s">
        <v>18</v>
      </c>
      <c r="H190" s="3">
        <v>431.6</v>
      </c>
      <c r="I190" s="3">
        <v>434.82</v>
      </c>
      <c r="J190" s="3">
        <v>439.23</v>
      </c>
      <c r="K190" s="3">
        <v>441.05</v>
      </c>
      <c r="L190" s="3">
        <v>443.6</v>
      </c>
      <c r="M190" s="3">
        <v>1</v>
      </c>
      <c r="N190" s="3">
        <v>1</v>
      </c>
      <c r="O190" s="3">
        <v>1</v>
      </c>
    </row>
    <row r="191" spans="1:15" hidden="1">
      <c r="A191" s="3">
        <v>563145</v>
      </c>
      <c r="B191" s="3" t="s">
        <v>226</v>
      </c>
      <c r="C191" s="3" t="s">
        <v>216</v>
      </c>
      <c r="D191" s="3">
        <v>-33.979999999999997</v>
      </c>
      <c r="E191" s="3">
        <v>148.9383</v>
      </c>
      <c r="F191" s="3" t="s">
        <v>17</v>
      </c>
      <c r="G191" s="3" t="s">
        <v>18</v>
      </c>
      <c r="H191" s="3">
        <v>309.39</v>
      </c>
      <c r="I191" s="3">
        <v>311.70999999999998</v>
      </c>
      <c r="J191" s="3">
        <v>312.26</v>
      </c>
      <c r="K191" s="3">
        <v>314.73</v>
      </c>
      <c r="L191" s="3">
        <v>321.39</v>
      </c>
      <c r="M191" s="3">
        <v>1</v>
      </c>
      <c r="N191" s="3">
        <v>1</v>
      </c>
      <c r="O191" s="3">
        <v>1</v>
      </c>
    </row>
    <row r="192" spans="1:15" hidden="1">
      <c r="A192" s="3">
        <v>563146</v>
      </c>
      <c r="B192" s="3" t="s">
        <v>227</v>
      </c>
      <c r="C192" s="3" t="s">
        <v>216</v>
      </c>
      <c r="D192" s="3">
        <v>-33.619999999999997</v>
      </c>
      <c r="E192" s="3">
        <v>149.17830000000001</v>
      </c>
      <c r="F192" s="3" t="s">
        <v>17</v>
      </c>
      <c r="G192" s="3" t="s">
        <v>18</v>
      </c>
      <c r="H192" s="3">
        <v>858.93</v>
      </c>
      <c r="I192" s="3">
        <v>859.96</v>
      </c>
      <c r="J192" s="3">
        <v>859.96</v>
      </c>
      <c r="K192" s="3">
        <v>859.96</v>
      </c>
      <c r="L192" s="3">
        <v>859.96</v>
      </c>
      <c r="M192" s="3">
        <v>2</v>
      </c>
      <c r="N192" s="3">
        <v>1</v>
      </c>
      <c r="O192" s="3">
        <v>2</v>
      </c>
    </row>
    <row r="193" spans="1:15" hidden="1">
      <c r="A193" s="3">
        <v>565000</v>
      </c>
      <c r="B193" s="3" t="s">
        <v>228</v>
      </c>
      <c r="C193" s="3" t="s">
        <v>216</v>
      </c>
      <c r="D193" s="3">
        <v>-33.4</v>
      </c>
      <c r="E193" s="3">
        <v>147.7833</v>
      </c>
      <c r="F193" s="3" t="s">
        <v>17</v>
      </c>
      <c r="G193" s="3" t="s">
        <v>18</v>
      </c>
      <c r="H193" s="3">
        <v>221</v>
      </c>
      <c r="I193" s="3">
        <v>224.64</v>
      </c>
      <c r="J193" s="3">
        <v>224.64</v>
      </c>
      <c r="K193" s="3">
        <v>224.64</v>
      </c>
      <c r="L193" s="3">
        <v>224.64</v>
      </c>
      <c r="M193" s="3">
        <v>1</v>
      </c>
      <c r="N193" s="3">
        <v>1</v>
      </c>
      <c r="O193" s="3">
        <v>1</v>
      </c>
    </row>
    <row r="194" spans="1:15" hidden="1">
      <c r="A194" s="3">
        <v>565003</v>
      </c>
      <c r="B194" s="3" t="s">
        <v>229</v>
      </c>
      <c r="C194" s="3" t="s">
        <v>216</v>
      </c>
      <c r="D194" s="3">
        <v>-33.416699999999999</v>
      </c>
      <c r="E194" s="3">
        <v>148</v>
      </c>
      <c r="F194" s="3" t="s">
        <v>17</v>
      </c>
      <c r="G194" s="3" t="s">
        <v>18</v>
      </c>
      <c r="H194" s="3">
        <v>233.25</v>
      </c>
      <c r="I194" s="3">
        <v>236.62</v>
      </c>
      <c r="J194" s="3">
        <v>236.62</v>
      </c>
      <c r="K194" s="3">
        <v>236.62</v>
      </c>
      <c r="L194" s="3">
        <v>236.74</v>
      </c>
      <c r="M194" s="3">
        <v>2</v>
      </c>
      <c r="N194" s="3">
        <v>1</v>
      </c>
      <c r="O194" s="3">
        <v>2</v>
      </c>
    </row>
    <row r="195" spans="1:15" hidden="1">
      <c r="A195" s="3">
        <v>565007</v>
      </c>
      <c r="B195" s="3" t="s">
        <v>230</v>
      </c>
      <c r="C195" s="3" t="s">
        <v>216</v>
      </c>
      <c r="D195" s="3">
        <v>-33.575000000000003</v>
      </c>
      <c r="E195" s="3">
        <v>148.41669999999999</v>
      </c>
      <c r="F195" s="3" t="s">
        <v>17</v>
      </c>
      <c r="G195" s="3" t="s">
        <v>18</v>
      </c>
      <c r="H195" s="3">
        <v>259.81</v>
      </c>
      <c r="M195" s="3">
        <v>1</v>
      </c>
      <c r="N195" s="3">
        <v>1</v>
      </c>
      <c r="O195" s="3">
        <f>M195*N195</f>
        <v>1</v>
      </c>
    </row>
    <row r="196" spans="1:15" hidden="1">
      <c r="A196" s="3">
        <v>565013</v>
      </c>
      <c r="B196" s="3" t="s">
        <v>231</v>
      </c>
      <c r="C196" s="3" t="s">
        <v>216</v>
      </c>
      <c r="D196" s="3">
        <v>-33.576900000000002</v>
      </c>
      <c r="E196" s="3">
        <v>148.67529999999999</v>
      </c>
      <c r="F196" s="3" t="s">
        <v>17</v>
      </c>
      <c r="G196" s="3" t="s">
        <v>18</v>
      </c>
      <c r="H196" s="3">
        <v>301.95999999999998</v>
      </c>
      <c r="M196" s="3">
        <v>2</v>
      </c>
      <c r="N196" s="3">
        <v>1</v>
      </c>
      <c r="O196" s="3">
        <f>M196*N196</f>
        <v>2</v>
      </c>
    </row>
    <row r="197" spans="1:15" hidden="1">
      <c r="A197" s="3">
        <v>573005</v>
      </c>
      <c r="B197" s="3" t="s">
        <v>232</v>
      </c>
      <c r="C197" s="3" t="s">
        <v>216</v>
      </c>
      <c r="D197" s="3">
        <v>-34.144399999999997</v>
      </c>
      <c r="E197" s="3">
        <v>148.80969999999999</v>
      </c>
      <c r="F197" s="3" t="s">
        <v>17</v>
      </c>
      <c r="G197" s="3" t="s">
        <v>21</v>
      </c>
      <c r="H197" s="3">
        <v>326.02999999999997</v>
      </c>
      <c r="I197" s="3">
        <v>328.95</v>
      </c>
      <c r="J197" s="3">
        <v>329.44</v>
      </c>
      <c r="K197" s="3">
        <v>330.24</v>
      </c>
      <c r="L197" s="3">
        <v>332.6</v>
      </c>
      <c r="M197" s="3">
        <v>1</v>
      </c>
      <c r="N197" s="3">
        <v>2</v>
      </c>
      <c r="O197" s="3">
        <v>2</v>
      </c>
    </row>
    <row r="198" spans="1:15" hidden="1">
      <c r="A198" s="3">
        <v>573013</v>
      </c>
      <c r="B198" s="3" t="s">
        <v>233</v>
      </c>
      <c r="C198" s="3" t="s">
        <v>216</v>
      </c>
      <c r="D198" s="3">
        <v>-34.595500000000001</v>
      </c>
      <c r="E198" s="3">
        <v>147.86590000000001</v>
      </c>
      <c r="F198" s="3" t="s">
        <v>17</v>
      </c>
      <c r="G198" s="3" t="s">
        <v>21</v>
      </c>
      <c r="H198" s="3">
        <v>338.86</v>
      </c>
      <c r="I198" s="3">
        <v>339.1</v>
      </c>
      <c r="J198" s="3">
        <v>339.12</v>
      </c>
      <c r="K198" s="3">
        <v>339.22</v>
      </c>
      <c r="L198" s="3">
        <v>339.54</v>
      </c>
      <c r="M198" s="3">
        <v>1</v>
      </c>
      <c r="N198" s="3">
        <v>2</v>
      </c>
      <c r="O198" s="3">
        <v>2</v>
      </c>
    </row>
    <row r="199" spans="1:15" hidden="1">
      <c r="A199" s="3">
        <v>575006</v>
      </c>
      <c r="B199" s="3" t="s">
        <v>234</v>
      </c>
      <c r="C199" s="3" t="s">
        <v>216</v>
      </c>
      <c r="D199" s="3">
        <v>-33.2072</v>
      </c>
      <c r="E199" s="3">
        <v>146.45140000000001</v>
      </c>
      <c r="F199" s="3" t="s">
        <v>17</v>
      </c>
      <c r="G199" s="3" t="s">
        <v>49</v>
      </c>
      <c r="H199" s="3">
        <v>159.12</v>
      </c>
      <c r="I199" s="3">
        <v>159.24</v>
      </c>
      <c r="J199" s="3">
        <v>159.49</v>
      </c>
      <c r="K199" s="3">
        <v>159.91</v>
      </c>
      <c r="L199" s="3">
        <v>160.6</v>
      </c>
      <c r="M199" s="3">
        <v>1</v>
      </c>
      <c r="N199" s="3">
        <v>1</v>
      </c>
      <c r="O199" s="3">
        <v>1</v>
      </c>
    </row>
    <row r="200" spans="1:15" hidden="1">
      <c r="A200" s="3">
        <v>575013</v>
      </c>
      <c r="B200" s="3" t="s">
        <v>235</v>
      </c>
      <c r="C200" s="3" t="s">
        <v>216</v>
      </c>
      <c r="D200" s="3">
        <v>-33.487299999999998</v>
      </c>
      <c r="E200" s="3">
        <v>145.50399999999999</v>
      </c>
      <c r="F200" s="3" t="s">
        <v>17</v>
      </c>
      <c r="G200" s="3" t="s">
        <v>18</v>
      </c>
      <c r="H200" s="3">
        <v>119.08</v>
      </c>
      <c r="I200" s="3">
        <v>119.31</v>
      </c>
      <c r="J200" s="3">
        <v>119.4</v>
      </c>
      <c r="K200" s="3">
        <v>119.55</v>
      </c>
      <c r="L200" s="3">
        <v>119.8</v>
      </c>
      <c r="M200" s="3">
        <v>1</v>
      </c>
      <c r="N200" s="3">
        <v>2</v>
      </c>
      <c r="O200" s="3">
        <v>2</v>
      </c>
    </row>
    <row r="201" spans="1:15" hidden="1">
      <c r="A201" s="3">
        <v>57112</v>
      </c>
      <c r="B201" s="3" t="s">
        <v>236</v>
      </c>
      <c r="C201" s="3" t="s">
        <v>237</v>
      </c>
      <c r="D201" s="3">
        <v>-31.191700000000001</v>
      </c>
      <c r="E201" s="3">
        <v>151.83330000000001</v>
      </c>
      <c r="F201" s="3" t="s">
        <v>17</v>
      </c>
      <c r="G201" s="3" t="s">
        <v>18</v>
      </c>
      <c r="H201" s="3">
        <v>1049.81</v>
      </c>
      <c r="M201" s="3">
        <v>1</v>
      </c>
      <c r="N201" s="3">
        <v>1</v>
      </c>
      <c r="O201" s="3">
        <f>M201*N201</f>
        <v>1</v>
      </c>
    </row>
    <row r="202" spans="1:15" hidden="1">
      <c r="A202" s="3">
        <v>59056</v>
      </c>
      <c r="B202" s="3" t="s">
        <v>238</v>
      </c>
      <c r="C202" s="3" t="s">
        <v>237</v>
      </c>
      <c r="D202" s="3">
        <v>-30.7333</v>
      </c>
      <c r="E202" s="3">
        <v>152.5</v>
      </c>
      <c r="F202" s="3" t="s">
        <v>17</v>
      </c>
      <c r="G202" s="3" t="s">
        <v>18</v>
      </c>
      <c r="H202" s="3">
        <v>103.27</v>
      </c>
      <c r="I202" s="3">
        <v>108.12</v>
      </c>
      <c r="J202" s="3">
        <v>108.73</v>
      </c>
      <c r="K202" s="3">
        <v>109.76</v>
      </c>
      <c r="L202" s="3">
        <v>111.62</v>
      </c>
      <c r="M202" s="3">
        <v>1</v>
      </c>
      <c r="N202" s="3">
        <v>1</v>
      </c>
      <c r="O202" s="3">
        <v>1</v>
      </c>
    </row>
    <row r="203" spans="1:15" hidden="1">
      <c r="A203" s="3">
        <v>59122</v>
      </c>
      <c r="B203" s="3" t="s">
        <v>239</v>
      </c>
      <c r="C203" s="3" t="s">
        <v>237</v>
      </c>
      <c r="D203" s="3">
        <v>-30.8217</v>
      </c>
      <c r="E203" s="3">
        <v>152.5067</v>
      </c>
      <c r="F203" s="3" t="s">
        <v>17</v>
      </c>
      <c r="G203" s="3" t="s">
        <v>21</v>
      </c>
      <c r="H203" s="3">
        <v>73.260000000000005</v>
      </c>
      <c r="L203" s="3">
        <v>79.72</v>
      </c>
      <c r="M203" s="3">
        <v>1</v>
      </c>
      <c r="N203" s="3">
        <v>1</v>
      </c>
      <c r="O203" s="3">
        <f>M203*N203</f>
        <v>1</v>
      </c>
    </row>
    <row r="204" spans="1:15" hidden="1">
      <c r="A204" s="3">
        <v>59125</v>
      </c>
      <c r="B204" s="3" t="s">
        <v>240</v>
      </c>
      <c r="C204" s="3" t="s">
        <v>237</v>
      </c>
      <c r="D204" s="3">
        <v>-31.089700000000001</v>
      </c>
      <c r="E204" s="3">
        <v>152.6217</v>
      </c>
      <c r="F204" s="3" t="s">
        <v>17</v>
      </c>
      <c r="G204" s="3" t="s">
        <v>18</v>
      </c>
      <c r="H204" s="3">
        <v>72.400000000000006</v>
      </c>
      <c r="M204" s="3">
        <v>1</v>
      </c>
      <c r="N204" s="3">
        <v>1</v>
      </c>
      <c r="O204" s="3">
        <f>M204*N204</f>
        <v>1</v>
      </c>
    </row>
    <row r="205" spans="1:15" hidden="1">
      <c r="A205" s="3">
        <v>59127</v>
      </c>
      <c r="B205" s="3" t="s">
        <v>241</v>
      </c>
      <c r="C205" s="3" t="s">
        <v>237</v>
      </c>
      <c r="D205" s="3">
        <v>-31.083300000000001</v>
      </c>
      <c r="E205" s="3">
        <v>152.8467</v>
      </c>
      <c r="F205" s="3" t="s">
        <v>17</v>
      </c>
      <c r="G205" s="3" t="s">
        <v>18</v>
      </c>
      <c r="H205" s="3">
        <v>24.84</v>
      </c>
      <c r="M205" s="3">
        <v>2</v>
      </c>
      <c r="N205" s="3">
        <v>1</v>
      </c>
      <c r="O205" s="3">
        <f>M205*N205</f>
        <v>2</v>
      </c>
    </row>
    <row r="206" spans="1:15" hidden="1">
      <c r="A206" s="3">
        <v>59128</v>
      </c>
      <c r="B206" s="3" t="s">
        <v>242</v>
      </c>
      <c r="C206" s="3" t="s">
        <v>237</v>
      </c>
      <c r="D206" s="3">
        <v>-30.978300000000001</v>
      </c>
      <c r="E206" s="3">
        <v>152.51060000000001</v>
      </c>
      <c r="F206" s="3" t="s">
        <v>17</v>
      </c>
      <c r="G206" s="3" t="s">
        <v>21</v>
      </c>
      <c r="H206" s="3">
        <v>83.69</v>
      </c>
      <c r="I206" s="3">
        <v>83.84</v>
      </c>
      <c r="J206" s="3">
        <v>83.84</v>
      </c>
      <c r="K206" s="3">
        <v>83.88</v>
      </c>
      <c r="L206" s="3">
        <v>84.49</v>
      </c>
      <c r="M206" s="3">
        <v>1</v>
      </c>
      <c r="N206" s="3">
        <v>1</v>
      </c>
      <c r="O206" s="3">
        <v>1</v>
      </c>
    </row>
    <row r="207" spans="1:15" hidden="1">
      <c r="A207" s="3">
        <v>556012</v>
      </c>
      <c r="B207" s="3" t="s">
        <v>243</v>
      </c>
      <c r="C207" s="3" t="s">
        <v>237</v>
      </c>
      <c r="D207" s="3">
        <v>-30.679500000000001</v>
      </c>
      <c r="E207" s="3">
        <v>151.71440000000001</v>
      </c>
      <c r="F207" s="3" t="s">
        <v>17</v>
      </c>
      <c r="G207" s="3" t="s">
        <v>49</v>
      </c>
      <c r="H207" s="3">
        <v>958.1</v>
      </c>
      <c r="I207" s="3">
        <v>962.19</v>
      </c>
      <c r="J207" s="3">
        <v>962.51</v>
      </c>
      <c r="K207" s="3">
        <v>963.04</v>
      </c>
      <c r="L207" s="3">
        <v>965.07</v>
      </c>
      <c r="M207" s="3">
        <v>1</v>
      </c>
      <c r="N207" s="3">
        <v>1</v>
      </c>
      <c r="O207" s="3">
        <v>1</v>
      </c>
    </row>
    <row r="208" spans="1:15" hidden="1">
      <c r="A208" s="3">
        <v>556016</v>
      </c>
      <c r="B208" s="3" t="s">
        <v>244</v>
      </c>
      <c r="C208" s="3" t="s">
        <v>237</v>
      </c>
      <c r="D208" s="3">
        <v>-30.468299999999999</v>
      </c>
      <c r="E208" s="3">
        <v>151.63</v>
      </c>
      <c r="F208" s="3" t="s">
        <v>17</v>
      </c>
      <c r="G208" s="3" t="s">
        <v>18</v>
      </c>
      <c r="H208" s="3">
        <v>998.1</v>
      </c>
      <c r="I208" s="3">
        <v>998.32</v>
      </c>
      <c r="J208" s="3">
        <v>998.34</v>
      </c>
      <c r="K208" s="3">
        <v>998.43</v>
      </c>
      <c r="L208" s="3">
        <v>998.57</v>
      </c>
      <c r="M208" s="3">
        <v>1</v>
      </c>
      <c r="N208" s="3">
        <v>2</v>
      </c>
      <c r="O208" s="3">
        <v>2</v>
      </c>
    </row>
    <row r="209" spans="1:15" hidden="1">
      <c r="A209" s="3">
        <v>556017</v>
      </c>
      <c r="B209" s="3" t="s">
        <v>245</v>
      </c>
      <c r="C209" s="3" t="s">
        <v>237</v>
      </c>
      <c r="D209" s="3">
        <v>-30.511700000000001</v>
      </c>
      <c r="E209" s="3">
        <v>151.66999999999999</v>
      </c>
      <c r="F209" s="3" t="s">
        <v>17</v>
      </c>
      <c r="G209" s="3" t="s">
        <v>18</v>
      </c>
      <c r="H209" s="3">
        <v>969.06</v>
      </c>
      <c r="M209" s="3">
        <v>2</v>
      </c>
      <c r="N209" s="3">
        <v>1</v>
      </c>
      <c r="O209" s="3">
        <f>M209*N209</f>
        <v>2</v>
      </c>
    </row>
    <row r="210" spans="1:15" hidden="1">
      <c r="A210" s="3">
        <v>556021</v>
      </c>
      <c r="B210" s="3" t="s">
        <v>246</v>
      </c>
      <c r="C210" s="3" t="s">
        <v>237</v>
      </c>
      <c r="D210" s="3">
        <v>-30.578299999999999</v>
      </c>
      <c r="E210" s="3">
        <v>151.74</v>
      </c>
      <c r="F210" s="3" t="s">
        <v>17</v>
      </c>
      <c r="G210" s="3" t="s">
        <v>18</v>
      </c>
      <c r="H210" s="3">
        <v>963.11</v>
      </c>
      <c r="M210" s="3">
        <v>1</v>
      </c>
      <c r="N210" s="3">
        <v>1</v>
      </c>
      <c r="O210" s="3">
        <f>M210*N210</f>
        <v>1</v>
      </c>
    </row>
    <row r="211" spans="1:15" hidden="1">
      <c r="A211" s="3">
        <v>556022</v>
      </c>
      <c r="B211" s="3" t="s">
        <v>247</v>
      </c>
      <c r="C211" s="3" t="s">
        <v>237</v>
      </c>
      <c r="D211" s="3">
        <v>-30.466100000000001</v>
      </c>
      <c r="E211" s="3">
        <v>151.61439999999999</v>
      </c>
      <c r="F211" s="3" t="s">
        <v>17</v>
      </c>
      <c r="G211" s="3" t="s">
        <v>21</v>
      </c>
      <c r="H211" s="3">
        <v>1014.49</v>
      </c>
      <c r="M211" s="3">
        <v>1</v>
      </c>
      <c r="N211" s="3">
        <v>1</v>
      </c>
      <c r="O211" s="3">
        <f>M211*N211</f>
        <v>1</v>
      </c>
    </row>
    <row r="212" spans="1:15" hidden="1">
      <c r="A212" s="3">
        <v>557001</v>
      </c>
      <c r="B212" s="3" t="s">
        <v>248</v>
      </c>
      <c r="C212" s="3" t="s">
        <v>237</v>
      </c>
      <c r="D212" s="3">
        <v>-30.753299999999999</v>
      </c>
      <c r="E212" s="3">
        <v>152.20500000000001</v>
      </c>
      <c r="F212" s="3" t="s">
        <v>17</v>
      </c>
      <c r="G212" s="3" t="s">
        <v>18</v>
      </c>
      <c r="H212" s="3">
        <v>130.59</v>
      </c>
      <c r="I212" s="3">
        <v>137.1</v>
      </c>
      <c r="J212" s="3">
        <v>138.11000000000001</v>
      </c>
      <c r="K212" s="3">
        <v>140.6</v>
      </c>
      <c r="L212" s="3">
        <v>142.59</v>
      </c>
      <c r="M212" s="3">
        <v>1</v>
      </c>
      <c r="N212" s="3">
        <v>1</v>
      </c>
      <c r="O212" s="3">
        <v>1</v>
      </c>
    </row>
    <row r="213" spans="1:15" hidden="1">
      <c r="A213" s="3">
        <v>557002</v>
      </c>
      <c r="B213" s="3" t="s">
        <v>249</v>
      </c>
      <c r="C213" s="3" t="s">
        <v>237</v>
      </c>
      <c r="D213" s="3">
        <v>-30.6069</v>
      </c>
      <c r="E213" s="3">
        <v>152.16329999999999</v>
      </c>
      <c r="F213" s="3" t="s">
        <v>17</v>
      </c>
      <c r="G213" s="3" t="s">
        <v>18</v>
      </c>
      <c r="H213" s="3">
        <v>942.05</v>
      </c>
      <c r="L213" s="3">
        <v>942.18</v>
      </c>
      <c r="M213" s="3">
        <v>1</v>
      </c>
      <c r="N213" s="3">
        <v>1</v>
      </c>
      <c r="O213" s="3">
        <f>M213*N213</f>
        <v>1</v>
      </c>
    </row>
    <row r="214" spans="1:15" hidden="1">
      <c r="A214" s="3">
        <v>557006</v>
      </c>
      <c r="B214" s="3" t="s">
        <v>250</v>
      </c>
      <c r="C214" s="3" t="s">
        <v>237</v>
      </c>
      <c r="D214" s="3">
        <v>-30.477499999999999</v>
      </c>
      <c r="E214" s="3">
        <v>152.02610000000001</v>
      </c>
      <c r="F214" s="3" t="s">
        <v>17</v>
      </c>
      <c r="G214" s="3" t="s">
        <v>18</v>
      </c>
      <c r="H214" s="3">
        <v>964.88</v>
      </c>
      <c r="M214" s="3">
        <v>1</v>
      </c>
      <c r="N214" s="3">
        <v>1</v>
      </c>
      <c r="O214" s="3">
        <f>M214*N214</f>
        <v>1</v>
      </c>
    </row>
    <row r="215" spans="1:15" hidden="1">
      <c r="A215" s="3">
        <v>557012</v>
      </c>
      <c r="B215" s="3" t="s">
        <v>251</v>
      </c>
      <c r="C215" s="3" t="s">
        <v>237</v>
      </c>
      <c r="D215" s="3">
        <v>-31.0519</v>
      </c>
      <c r="E215" s="3">
        <v>151.76779999999999</v>
      </c>
      <c r="F215" s="3" t="s">
        <v>17</v>
      </c>
      <c r="G215" s="3" t="s">
        <v>18</v>
      </c>
      <c r="H215" s="3">
        <v>992.26</v>
      </c>
      <c r="I215" s="3">
        <v>1004.26</v>
      </c>
      <c r="J215" s="3">
        <v>1004.26</v>
      </c>
      <c r="K215" s="3">
        <v>1004.26</v>
      </c>
      <c r="L215" s="3">
        <v>1004.26</v>
      </c>
      <c r="M215" s="3">
        <v>1</v>
      </c>
      <c r="N215" s="3">
        <v>1</v>
      </c>
      <c r="O215" s="3">
        <v>1</v>
      </c>
    </row>
    <row r="216" spans="1:15" hidden="1">
      <c r="A216" s="3">
        <v>557013</v>
      </c>
      <c r="B216" s="3" t="s">
        <v>252</v>
      </c>
      <c r="C216" s="3" t="s">
        <v>237</v>
      </c>
      <c r="D216" s="3">
        <v>-30.970099999999999</v>
      </c>
      <c r="E216" s="3">
        <v>152.0094</v>
      </c>
      <c r="F216" s="3" t="s">
        <v>17</v>
      </c>
      <c r="G216" s="3" t="s">
        <v>18</v>
      </c>
      <c r="H216" s="3">
        <v>246.9</v>
      </c>
      <c r="I216" s="3">
        <v>249.03</v>
      </c>
      <c r="J216" s="3">
        <v>249.44</v>
      </c>
      <c r="K216" s="3">
        <v>250.13</v>
      </c>
      <c r="L216" s="3">
        <v>254.74</v>
      </c>
      <c r="M216" s="3">
        <v>1</v>
      </c>
      <c r="N216" s="3">
        <v>1</v>
      </c>
      <c r="O216" s="3">
        <v>1</v>
      </c>
    </row>
    <row r="217" spans="1:15" hidden="1">
      <c r="A217" s="3">
        <v>559002</v>
      </c>
      <c r="B217" s="3" t="s">
        <v>253</v>
      </c>
      <c r="C217" s="3" t="s">
        <v>237</v>
      </c>
      <c r="D217" s="3">
        <v>-31.01</v>
      </c>
      <c r="E217" s="3">
        <v>152.71190000000001</v>
      </c>
      <c r="F217" s="3" t="s">
        <v>17</v>
      </c>
      <c r="G217" s="3" t="s">
        <v>21</v>
      </c>
      <c r="H217" s="3">
        <v>17.71</v>
      </c>
      <c r="I217" s="3">
        <v>18.95</v>
      </c>
      <c r="J217" s="3">
        <v>20.079999999999998</v>
      </c>
      <c r="K217" s="3">
        <v>23.46</v>
      </c>
      <c r="L217" s="3">
        <v>29.6</v>
      </c>
      <c r="M217" s="3">
        <v>2</v>
      </c>
      <c r="N217" s="3">
        <v>1</v>
      </c>
      <c r="O217" s="3">
        <v>2</v>
      </c>
    </row>
    <row r="218" spans="1:15">
      <c r="A218" s="3">
        <v>559003</v>
      </c>
      <c r="B218" s="3" t="s">
        <v>254</v>
      </c>
      <c r="C218" s="3" t="s">
        <v>237</v>
      </c>
      <c r="D218" s="3">
        <v>-31.033300000000001</v>
      </c>
      <c r="E218" s="3">
        <v>152.9417</v>
      </c>
      <c r="F218" s="3" t="s">
        <v>17</v>
      </c>
      <c r="G218" s="3" t="s">
        <v>49</v>
      </c>
      <c r="H218" s="3">
        <v>3.4</v>
      </c>
      <c r="I218" s="3">
        <v>3.43</v>
      </c>
      <c r="J218" s="3">
        <v>3.46</v>
      </c>
      <c r="K218" s="3">
        <v>3.51</v>
      </c>
      <c r="L218" s="3">
        <v>4.46</v>
      </c>
      <c r="M218" s="3">
        <v>2</v>
      </c>
      <c r="N218" s="3">
        <v>3</v>
      </c>
      <c r="O218" s="3">
        <v>6</v>
      </c>
    </row>
    <row r="219" spans="1:15">
      <c r="A219" s="3">
        <v>559010</v>
      </c>
      <c r="B219" s="3" t="s">
        <v>255</v>
      </c>
      <c r="C219" s="3" t="s">
        <v>237</v>
      </c>
      <c r="D219" s="3">
        <v>-30.993300000000001</v>
      </c>
      <c r="E219" s="3">
        <v>152.98830000000001</v>
      </c>
      <c r="F219" s="3" t="s">
        <v>17</v>
      </c>
      <c r="G219" s="3" t="s">
        <v>49</v>
      </c>
      <c r="H219" s="3">
        <v>3.27</v>
      </c>
      <c r="I219" s="3">
        <v>3.85</v>
      </c>
      <c r="J219" s="3">
        <v>3.86</v>
      </c>
      <c r="K219" s="3">
        <v>3.98</v>
      </c>
      <c r="L219" s="3">
        <v>4.3499999999999996</v>
      </c>
      <c r="M219" s="3">
        <v>2</v>
      </c>
      <c r="N219" s="3">
        <v>2</v>
      </c>
      <c r="O219" s="3">
        <v>4</v>
      </c>
    </row>
    <row r="220" spans="1:15">
      <c r="A220" s="3">
        <v>559029</v>
      </c>
      <c r="B220" s="3" t="s">
        <v>256</v>
      </c>
      <c r="C220" s="3" t="s">
        <v>237</v>
      </c>
      <c r="D220" s="3">
        <v>-31.07</v>
      </c>
      <c r="E220" s="3">
        <v>152.97</v>
      </c>
      <c r="F220" s="3" t="s">
        <v>17</v>
      </c>
      <c r="G220" s="3" t="s">
        <v>49</v>
      </c>
      <c r="H220" s="3">
        <v>1.35</v>
      </c>
      <c r="I220" s="3">
        <v>2.21</v>
      </c>
      <c r="J220" s="3">
        <v>2.4700000000000002</v>
      </c>
      <c r="K220" s="3">
        <v>2.89</v>
      </c>
      <c r="L220" s="3">
        <v>3.39</v>
      </c>
      <c r="M220" s="3">
        <v>2</v>
      </c>
      <c r="N220" s="3">
        <v>3</v>
      </c>
      <c r="O220" s="3">
        <v>6</v>
      </c>
    </row>
    <row r="221" spans="1:15">
      <c r="A221" s="3">
        <v>559034</v>
      </c>
      <c r="B221" s="3" t="s">
        <v>257</v>
      </c>
      <c r="C221" s="3" t="s">
        <v>237</v>
      </c>
      <c r="D221" s="3">
        <v>-31</v>
      </c>
      <c r="E221" s="3">
        <v>152.93199999999999</v>
      </c>
      <c r="F221" s="3" t="s">
        <v>17</v>
      </c>
      <c r="G221" s="3" t="s">
        <v>52</v>
      </c>
      <c r="H221" s="3">
        <v>2.5</v>
      </c>
      <c r="I221" s="3">
        <v>2.96</v>
      </c>
      <c r="J221" s="3">
        <v>2.99</v>
      </c>
      <c r="K221" s="3">
        <v>3.2</v>
      </c>
      <c r="L221" s="3">
        <v>3.58</v>
      </c>
      <c r="M221" s="3">
        <v>2</v>
      </c>
      <c r="N221" s="3">
        <v>3</v>
      </c>
      <c r="O221" s="3">
        <v>6</v>
      </c>
    </row>
    <row r="222" spans="1:15" hidden="1">
      <c r="A222" s="3">
        <v>559038</v>
      </c>
      <c r="B222" s="3" t="s">
        <v>258</v>
      </c>
      <c r="C222" s="3" t="s">
        <v>237</v>
      </c>
      <c r="D222" s="3">
        <v>-30.91</v>
      </c>
      <c r="E222" s="3">
        <v>152.59</v>
      </c>
      <c r="F222" s="3" t="s">
        <v>17</v>
      </c>
      <c r="G222" s="3" t="s">
        <v>18</v>
      </c>
      <c r="H222" s="3">
        <v>56.91</v>
      </c>
      <c r="M222" s="3">
        <v>1</v>
      </c>
      <c r="N222" s="3">
        <v>1</v>
      </c>
      <c r="O222" s="3">
        <f>M222*N222</f>
        <v>1</v>
      </c>
    </row>
    <row r="223" spans="1:15" hidden="1">
      <c r="A223" s="3">
        <v>559040</v>
      </c>
      <c r="B223" s="3" t="s">
        <v>259</v>
      </c>
      <c r="C223" s="3" t="s">
        <v>237</v>
      </c>
      <c r="D223" s="3">
        <v>-31.017399999999999</v>
      </c>
      <c r="E223" s="3">
        <v>152.9461</v>
      </c>
      <c r="F223" s="3" t="s">
        <v>17</v>
      </c>
      <c r="G223" s="3" t="s">
        <v>18</v>
      </c>
      <c r="H223" s="3">
        <v>4.09</v>
      </c>
      <c r="K223" s="3">
        <v>4.1900000000000004</v>
      </c>
      <c r="L223" s="3">
        <v>4.26</v>
      </c>
      <c r="M223" s="3">
        <v>2</v>
      </c>
      <c r="N223" s="3">
        <v>1</v>
      </c>
      <c r="O223" s="3">
        <f>M223*N223</f>
        <v>2</v>
      </c>
    </row>
    <row r="224" spans="1:15" hidden="1">
      <c r="A224" s="3">
        <v>559067</v>
      </c>
      <c r="B224" s="3" t="s">
        <v>260</v>
      </c>
      <c r="C224" s="3" t="s">
        <v>237</v>
      </c>
      <c r="D224" s="3">
        <v>-31.058299999999999</v>
      </c>
      <c r="E224" s="3">
        <v>152.73140000000001</v>
      </c>
      <c r="F224" s="3" t="s">
        <v>17</v>
      </c>
      <c r="G224" s="3" t="s">
        <v>49</v>
      </c>
      <c r="H224" s="3">
        <v>3.96</v>
      </c>
      <c r="I224" s="3">
        <v>12.01</v>
      </c>
      <c r="J224" s="3">
        <v>12.96</v>
      </c>
      <c r="K224" s="3">
        <v>14.77</v>
      </c>
      <c r="L224" s="3">
        <v>15.96</v>
      </c>
      <c r="M224" s="3">
        <v>2</v>
      </c>
      <c r="N224" s="3">
        <v>1</v>
      </c>
      <c r="O224" s="3">
        <v>2</v>
      </c>
    </row>
    <row r="225" spans="1:15" hidden="1">
      <c r="A225" s="3">
        <v>559086</v>
      </c>
      <c r="B225" s="3" t="s">
        <v>261</v>
      </c>
      <c r="C225" s="3" t="s">
        <v>237</v>
      </c>
      <c r="D225" s="3">
        <v>-31.046500000000002</v>
      </c>
      <c r="E225" s="3">
        <v>152.86240000000001</v>
      </c>
      <c r="F225" s="3" t="s">
        <v>17</v>
      </c>
      <c r="G225" s="3" t="s">
        <v>49</v>
      </c>
      <c r="H225" s="3">
        <v>2</v>
      </c>
      <c r="I225" s="3">
        <v>5.73</v>
      </c>
      <c r="J225" s="3">
        <v>5.89</v>
      </c>
      <c r="K225" s="3">
        <v>6.08</v>
      </c>
      <c r="L225" s="3">
        <v>7.47</v>
      </c>
      <c r="M225" s="3">
        <v>2</v>
      </c>
      <c r="N225" s="3">
        <v>1</v>
      </c>
      <c r="O225" s="3">
        <v>2</v>
      </c>
    </row>
    <row r="226" spans="1:15" hidden="1">
      <c r="A226" s="3">
        <v>559151</v>
      </c>
      <c r="B226" s="3" t="s">
        <v>262</v>
      </c>
      <c r="C226" s="3" t="s">
        <v>237</v>
      </c>
      <c r="D226" s="3">
        <v>-31.0825</v>
      </c>
      <c r="E226" s="3">
        <v>152.78309999999999</v>
      </c>
      <c r="F226" s="3" t="s">
        <v>17</v>
      </c>
      <c r="G226" s="3" t="s">
        <v>52</v>
      </c>
      <c r="H226" s="3">
        <v>1.34</v>
      </c>
      <c r="I226" s="3">
        <v>10.039999999999999</v>
      </c>
      <c r="J226" s="3">
        <v>10.63</v>
      </c>
      <c r="K226" s="3">
        <v>11.29</v>
      </c>
      <c r="L226" s="3">
        <v>13.34</v>
      </c>
      <c r="M226" s="3">
        <v>2</v>
      </c>
      <c r="N226" s="3">
        <v>1</v>
      </c>
      <c r="O226" s="3">
        <v>2</v>
      </c>
    </row>
    <row r="227" spans="1:15" hidden="1">
      <c r="A227" s="3">
        <v>51142</v>
      </c>
      <c r="B227" s="3" t="s">
        <v>263</v>
      </c>
      <c r="C227" s="3" t="s">
        <v>264</v>
      </c>
      <c r="D227" s="3">
        <v>-30.436699999999998</v>
      </c>
      <c r="E227" s="3">
        <v>147.57</v>
      </c>
      <c r="F227" s="3" t="s">
        <v>17</v>
      </c>
      <c r="G227" s="3" t="s">
        <v>18</v>
      </c>
      <c r="H227" s="3">
        <v>132.18</v>
      </c>
      <c r="J227" s="3">
        <v>132.22</v>
      </c>
      <c r="K227" s="3">
        <v>132.31</v>
      </c>
      <c r="L227" s="3">
        <v>132.36000000000001</v>
      </c>
      <c r="M227" s="3">
        <v>1</v>
      </c>
      <c r="N227" s="3">
        <v>1</v>
      </c>
      <c r="O227" s="3">
        <f>M227*N227</f>
        <v>1</v>
      </c>
    </row>
    <row r="228" spans="1:15" hidden="1">
      <c r="A228" s="3">
        <v>51145</v>
      </c>
      <c r="B228" s="3" t="s">
        <v>265</v>
      </c>
      <c r="C228" s="3" t="s">
        <v>264</v>
      </c>
      <c r="D228" s="3">
        <v>-31.7028</v>
      </c>
      <c r="E228" s="3">
        <v>147.83670000000001</v>
      </c>
      <c r="F228" s="3" t="s">
        <v>17</v>
      </c>
      <c r="G228" s="3" t="s">
        <v>18</v>
      </c>
      <c r="H228" s="3">
        <v>195.93</v>
      </c>
      <c r="J228" s="3">
        <v>195.99</v>
      </c>
      <c r="K228" s="3">
        <v>196.01</v>
      </c>
      <c r="L228" s="3">
        <v>196.19</v>
      </c>
      <c r="M228" s="3">
        <v>2</v>
      </c>
      <c r="N228" s="3">
        <v>1</v>
      </c>
      <c r="O228" s="3">
        <f>M228*N228</f>
        <v>2</v>
      </c>
    </row>
    <row r="229" spans="1:15">
      <c r="A229" s="3">
        <v>51146</v>
      </c>
      <c r="B229" s="3" t="s">
        <v>266</v>
      </c>
      <c r="C229" s="3" t="s">
        <v>264</v>
      </c>
      <c r="D229" s="3">
        <v>-31.12</v>
      </c>
      <c r="E229" s="3">
        <v>147.57</v>
      </c>
      <c r="F229" s="3" t="s">
        <v>17</v>
      </c>
      <c r="G229" s="3" t="s">
        <v>18</v>
      </c>
      <c r="H229" s="3">
        <v>161.02000000000001</v>
      </c>
      <c r="I229" s="3">
        <v>161.25</v>
      </c>
      <c r="J229" s="3">
        <v>161.29</v>
      </c>
      <c r="K229" s="3">
        <v>161.34</v>
      </c>
      <c r="L229" s="3">
        <v>161.38999999999999</v>
      </c>
      <c r="M229" s="3">
        <v>2</v>
      </c>
      <c r="N229" s="3">
        <v>3</v>
      </c>
      <c r="O229" s="3">
        <v>6</v>
      </c>
    </row>
    <row r="230" spans="1:15">
      <c r="A230" s="3">
        <v>51156</v>
      </c>
      <c r="B230" s="3" t="s">
        <v>267</v>
      </c>
      <c r="C230" s="3" t="s">
        <v>264</v>
      </c>
      <c r="D230" s="3">
        <v>-31.55</v>
      </c>
      <c r="E230" s="3">
        <v>147.1833</v>
      </c>
      <c r="F230" s="3" t="s">
        <v>17</v>
      </c>
      <c r="G230" s="3" t="s">
        <v>18</v>
      </c>
      <c r="H230" s="3">
        <v>170.57</v>
      </c>
      <c r="I230" s="3">
        <v>174.2</v>
      </c>
      <c r="J230" s="3">
        <v>174.62</v>
      </c>
      <c r="K230" s="3">
        <v>175.55</v>
      </c>
      <c r="L230" s="3">
        <v>175.85</v>
      </c>
      <c r="M230" s="3">
        <v>2</v>
      </c>
      <c r="N230" s="3">
        <v>2</v>
      </c>
      <c r="O230" s="3">
        <v>4</v>
      </c>
    </row>
    <row r="231" spans="1:15" hidden="1">
      <c r="A231" s="3">
        <v>63287</v>
      </c>
      <c r="B231" s="3" t="s">
        <v>268</v>
      </c>
      <c r="C231" s="3" t="s">
        <v>264</v>
      </c>
      <c r="D231" s="3">
        <v>-33.410699999999999</v>
      </c>
      <c r="E231" s="3">
        <v>149.58430000000001</v>
      </c>
      <c r="F231" s="3" t="s">
        <v>17</v>
      </c>
      <c r="G231" s="3" t="s">
        <v>21</v>
      </c>
      <c r="H231" s="3">
        <v>646.66</v>
      </c>
      <c r="I231" s="3">
        <v>655.49</v>
      </c>
      <c r="J231" s="3">
        <v>655.61</v>
      </c>
      <c r="K231" s="3">
        <v>655.84</v>
      </c>
      <c r="L231" s="3">
        <v>656.78</v>
      </c>
      <c r="M231" s="3">
        <v>2</v>
      </c>
      <c r="N231" s="3">
        <v>1</v>
      </c>
      <c r="O231" s="3">
        <v>2</v>
      </c>
    </row>
    <row r="232" spans="1:15" hidden="1">
      <c r="A232" s="3">
        <v>63297</v>
      </c>
      <c r="B232" s="3" t="s">
        <v>269</v>
      </c>
      <c r="C232" s="3" t="s">
        <v>264</v>
      </c>
      <c r="D232" s="3">
        <v>-33.572800000000001</v>
      </c>
      <c r="E232" s="3">
        <v>149.9128</v>
      </c>
      <c r="F232" s="3" t="s">
        <v>17</v>
      </c>
      <c r="G232" s="3" t="s">
        <v>21</v>
      </c>
      <c r="H232" s="3">
        <v>862.44</v>
      </c>
      <c r="M232" s="3">
        <v>1</v>
      </c>
      <c r="N232" s="3">
        <v>1</v>
      </c>
      <c r="O232" s="3">
        <f>M232*N232</f>
        <v>1</v>
      </c>
    </row>
    <row r="233" spans="1:15" hidden="1">
      <c r="A233" s="3">
        <v>63298</v>
      </c>
      <c r="B233" s="3" t="s">
        <v>270</v>
      </c>
      <c r="C233" s="3" t="s">
        <v>264</v>
      </c>
      <c r="D233" s="3">
        <v>-33.613399999999999</v>
      </c>
      <c r="E233" s="3">
        <v>149.6987</v>
      </c>
      <c r="F233" s="3" t="s">
        <v>17</v>
      </c>
      <c r="G233" s="3" t="s">
        <v>21</v>
      </c>
      <c r="H233" s="3">
        <v>737.46</v>
      </c>
      <c r="M233" s="3">
        <v>1</v>
      </c>
      <c r="N233" s="3">
        <v>1</v>
      </c>
      <c r="O233" s="3">
        <f>M233*N233</f>
        <v>1</v>
      </c>
    </row>
    <row r="234" spans="1:15" hidden="1">
      <c r="A234" s="3">
        <v>65090</v>
      </c>
      <c r="B234" s="3" t="s">
        <v>271</v>
      </c>
      <c r="C234" s="3" t="s">
        <v>264</v>
      </c>
      <c r="D234" s="3">
        <v>-32.4</v>
      </c>
      <c r="E234" s="3">
        <v>148.69999999999999</v>
      </c>
      <c r="F234" s="3" t="s">
        <v>17</v>
      </c>
      <c r="G234" s="3" t="s">
        <v>18</v>
      </c>
      <c r="H234" s="3">
        <v>272.77999999999997</v>
      </c>
      <c r="I234" s="3">
        <v>275.89999999999998</v>
      </c>
      <c r="J234" s="3">
        <v>276.23</v>
      </c>
      <c r="K234" s="3">
        <v>276.76</v>
      </c>
      <c r="L234" s="3">
        <v>276.83</v>
      </c>
      <c r="M234" s="3">
        <v>1</v>
      </c>
      <c r="N234" s="3">
        <v>2</v>
      </c>
      <c r="O234" s="3">
        <v>2</v>
      </c>
    </row>
    <row r="235" spans="1:15" hidden="1">
      <c r="A235" s="3">
        <v>541027</v>
      </c>
      <c r="B235" s="3" t="s">
        <v>272</v>
      </c>
      <c r="C235" s="3" t="s">
        <v>264</v>
      </c>
      <c r="D235" s="3">
        <v>-30.8</v>
      </c>
      <c r="E235" s="3">
        <v>147.5</v>
      </c>
      <c r="F235" s="3" t="s">
        <v>17</v>
      </c>
      <c r="G235" s="3" t="s">
        <v>18</v>
      </c>
      <c r="H235" s="3">
        <v>145.44</v>
      </c>
      <c r="M235" s="3">
        <v>2</v>
      </c>
      <c r="N235" s="3">
        <v>1</v>
      </c>
      <c r="O235" s="3">
        <f>M235*N235</f>
        <v>2</v>
      </c>
    </row>
    <row r="236" spans="1:15" hidden="1">
      <c r="A236" s="3">
        <v>548010</v>
      </c>
      <c r="B236" s="3" t="s">
        <v>273</v>
      </c>
      <c r="C236" s="3" t="s">
        <v>264</v>
      </c>
      <c r="D236" s="3">
        <v>-30.35</v>
      </c>
      <c r="E236" s="3">
        <v>146.9</v>
      </c>
      <c r="F236" s="3" t="s">
        <v>17</v>
      </c>
      <c r="G236" s="3" t="s">
        <v>18</v>
      </c>
      <c r="H236" s="3">
        <v>127.24</v>
      </c>
      <c r="I236" s="3">
        <v>128.34</v>
      </c>
      <c r="J236" s="3">
        <v>128.35</v>
      </c>
      <c r="K236" s="3">
        <v>128.38999999999999</v>
      </c>
      <c r="L236" s="3">
        <v>128.56</v>
      </c>
      <c r="M236" s="3">
        <v>1</v>
      </c>
      <c r="N236" s="3">
        <v>1</v>
      </c>
      <c r="O236" s="3">
        <v>1</v>
      </c>
    </row>
    <row r="237" spans="1:15" hidden="1">
      <c r="A237" s="3">
        <v>550001</v>
      </c>
      <c r="B237" s="3" t="s">
        <v>274</v>
      </c>
      <c r="C237" s="3" t="s">
        <v>264</v>
      </c>
      <c r="D237" s="3">
        <v>-32.716700000000003</v>
      </c>
      <c r="E237" s="3">
        <v>148.13329999999999</v>
      </c>
      <c r="F237" s="3" t="s">
        <v>17</v>
      </c>
      <c r="G237" s="3" t="s">
        <v>18</v>
      </c>
      <c r="H237" s="3">
        <v>251.05</v>
      </c>
      <c r="K237" s="3">
        <v>251.4</v>
      </c>
      <c r="L237" s="3">
        <v>251.81</v>
      </c>
      <c r="M237" s="3">
        <v>1</v>
      </c>
      <c r="N237" s="3">
        <v>1</v>
      </c>
      <c r="O237" s="3">
        <f>M237*N237</f>
        <v>1</v>
      </c>
    </row>
    <row r="238" spans="1:15" hidden="1">
      <c r="A238" s="3">
        <v>550005</v>
      </c>
      <c r="B238" s="3" t="s">
        <v>275</v>
      </c>
      <c r="C238" s="3" t="s">
        <v>264</v>
      </c>
      <c r="D238" s="3">
        <v>-30.853899999999999</v>
      </c>
      <c r="E238" s="3">
        <v>147.0531</v>
      </c>
      <c r="F238" s="3" t="s">
        <v>17</v>
      </c>
      <c r="G238" s="3" t="s">
        <v>18</v>
      </c>
      <c r="H238" s="3">
        <v>145.38999999999999</v>
      </c>
      <c r="I238" s="3">
        <v>146.34</v>
      </c>
      <c r="J238" s="3">
        <v>146.44999999999999</v>
      </c>
      <c r="K238" s="3">
        <v>146.44999999999999</v>
      </c>
      <c r="L238" s="3">
        <v>146.69</v>
      </c>
      <c r="M238" s="3">
        <v>1</v>
      </c>
      <c r="N238" s="3">
        <v>2</v>
      </c>
      <c r="O238" s="3">
        <v>2</v>
      </c>
    </row>
    <row r="239" spans="1:15" hidden="1">
      <c r="A239" s="3">
        <v>551002</v>
      </c>
      <c r="B239" s="3" t="s">
        <v>276</v>
      </c>
      <c r="C239" s="3" t="s">
        <v>264</v>
      </c>
      <c r="D239" s="3">
        <v>-32.2667</v>
      </c>
      <c r="E239" s="3">
        <v>147.61670000000001</v>
      </c>
      <c r="F239" s="3" t="s">
        <v>17</v>
      </c>
      <c r="G239" s="3" t="s">
        <v>18</v>
      </c>
      <c r="H239" s="3">
        <v>203.65</v>
      </c>
      <c r="M239" s="3">
        <v>1</v>
      </c>
      <c r="N239" s="3">
        <v>1</v>
      </c>
      <c r="O239" s="3">
        <f>M239*N239</f>
        <v>1</v>
      </c>
    </row>
    <row r="240" spans="1:15">
      <c r="A240" s="3">
        <v>551003</v>
      </c>
      <c r="B240" s="3" t="s">
        <v>277</v>
      </c>
      <c r="C240" s="3" t="s">
        <v>264</v>
      </c>
      <c r="D240" s="3">
        <v>-31.916699999999999</v>
      </c>
      <c r="E240" s="3">
        <v>148.1</v>
      </c>
      <c r="F240" s="3" t="s">
        <v>17</v>
      </c>
      <c r="G240" s="3" t="s">
        <v>18</v>
      </c>
      <c r="H240" s="3">
        <v>214.39</v>
      </c>
      <c r="I240" s="3">
        <v>215.66</v>
      </c>
      <c r="J240" s="3">
        <v>215.89</v>
      </c>
      <c r="K240" s="3">
        <v>216.21</v>
      </c>
      <c r="L240" s="3">
        <v>216.54</v>
      </c>
      <c r="M240" s="3">
        <v>1</v>
      </c>
      <c r="N240" s="3">
        <v>3</v>
      </c>
      <c r="O240" s="3">
        <v>3</v>
      </c>
    </row>
    <row r="241" spans="1:15" hidden="1">
      <c r="A241" s="3">
        <v>551004</v>
      </c>
      <c r="B241" s="3" t="s">
        <v>278</v>
      </c>
      <c r="C241" s="3" t="s">
        <v>264</v>
      </c>
      <c r="D241" s="3">
        <v>-31.774999999999999</v>
      </c>
      <c r="E241" s="3">
        <v>147.125</v>
      </c>
      <c r="F241" s="3" t="s">
        <v>17</v>
      </c>
      <c r="G241" s="3" t="s">
        <v>18</v>
      </c>
      <c r="H241" s="3">
        <v>177.28</v>
      </c>
      <c r="M241" s="3">
        <v>1</v>
      </c>
      <c r="N241" s="3">
        <v>1</v>
      </c>
      <c r="O241" s="3">
        <f>M241*N241</f>
        <v>1</v>
      </c>
    </row>
    <row r="242" spans="1:15">
      <c r="A242" s="3">
        <v>551006</v>
      </c>
      <c r="B242" s="3" t="s">
        <v>279</v>
      </c>
      <c r="C242" s="3" t="s">
        <v>264</v>
      </c>
      <c r="D242" s="3">
        <v>-31.386099999999999</v>
      </c>
      <c r="E242" s="3">
        <v>147.6917</v>
      </c>
      <c r="F242" s="3" t="s">
        <v>17</v>
      </c>
      <c r="G242" s="3" t="s">
        <v>18</v>
      </c>
      <c r="H242" s="3">
        <v>176.32</v>
      </c>
      <c r="I242" s="3">
        <v>176.87</v>
      </c>
      <c r="J242" s="3">
        <v>176.95</v>
      </c>
      <c r="K242" s="3">
        <v>177.04</v>
      </c>
      <c r="L242" s="3">
        <v>177.19</v>
      </c>
      <c r="M242" s="3">
        <v>2</v>
      </c>
      <c r="N242" s="3">
        <v>2</v>
      </c>
      <c r="O242" s="3">
        <v>4</v>
      </c>
    </row>
    <row r="243" spans="1:15" hidden="1">
      <c r="A243" s="3">
        <v>551007</v>
      </c>
      <c r="B243" s="3" t="s">
        <v>280</v>
      </c>
      <c r="C243" s="3" t="s">
        <v>264</v>
      </c>
      <c r="D243" s="3">
        <v>-32.213900000000002</v>
      </c>
      <c r="E243" s="3">
        <v>148.375</v>
      </c>
      <c r="F243" s="3" t="s">
        <v>17</v>
      </c>
      <c r="G243" s="3" t="s">
        <v>18</v>
      </c>
      <c r="H243" s="3">
        <v>245.6</v>
      </c>
      <c r="I243" s="3">
        <v>246.33</v>
      </c>
      <c r="J243" s="3">
        <v>246.48</v>
      </c>
      <c r="K243" s="3">
        <v>246.81</v>
      </c>
      <c r="L243" s="3">
        <v>248.2</v>
      </c>
      <c r="M243" s="3">
        <v>1</v>
      </c>
      <c r="N243" s="3">
        <v>2</v>
      </c>
      <c r="O243" s="3">
        <v>2</v>
      </c>
    </row>
    <row r="244" spans="1:15" hidden="1">
      <c r="A244" s="3">
        <v>551009</v>
      </c>
      <c r="B244" s="3" t="s">
        <v>281</v>
      </c>
      <c r="C244" s="3" t="s">
        <v>264</v>
      </c>
      <c r="D244" s="3">
        <v>-31.7361</v>
      </c>
      <c r="E244" s="3">
        <v>147.8364</v>
      </c>
      <c r="F244" s="3" t="s">
        <v>17</v>
      </c>
      <c r="G244" s="3" t="s">
        <v>18</v>
      </c>
      <c r="H244" s="3">
        <v>197.17</v>
      </c>
      <c r="M244" s="3">
        <v>2</v>
      </c>
      <c r="N244" s="3">
        <v>1</v>
      </c>
      <c r="O244" s="3">
        <f>M244*N244</f>
        <v>2</v>
      </c>
    </row>
    <row r="245" spans="1:15" hidden="1">
      <c r="A245" s="3">
        <v>551016</v>
      </c>
      <c r="B245" s="3" t="s">
        <v>282</v>
      </c>
      <c r="C245" s="3" t="s">
        <v>264</v>
      </c>
      <c r="D245" s="3">
        <v>-31.3813</v>
      </c>
      <c r="E245" s="3">
        <v>147.38310000000001</v>
      </c>
      <c r="F245" s="3" t="s">
        <v>17</v>
      </c>
      <c r="G245" s="3" t="s">
        <v>18</v>
      </c>
      <c r="H245" s="3">
        <v>168.39</v>
      </c>
      <c r="J245" s="3">
        <v>168.77</v>
      </c>
      <c r="K245" s="3">
        <v>169.02</v>
      </c>
      <c r="L245" s="3">
        <v>169.24</v>
      </c>
      <c r="M245" s="3">
        <v>1</v>
      </c>
      <c r="N245" s="3">
        <v>1</v>
      </c>
      <c r="O245" s="3">
        <f>M245*N245</f>
        <v>1</v>
      </c>
    </row>
    <row r="246" spans="1:15" hidden="1">
      <c r="A246" s="3">
        <v>562000</v>
      </c>
      <c r="B246" s="3" t="s">
        <v>283</v>
      </c>
      <c r="C246" s="3" t="s">
        <v>264</v>
      </c>
      <c r="D246" s="3">
        <v>-32.633299999999998</v>
      </c>
      <c r="E246" s="3">
        <v>149.08330000000001</v>
      </c>
      <c r="F246" s="3" t="s">
        <v>17</v>
      </c>
      <c r="G246" s="3" t="s">
        <v>18</v>
      </c>
      <c r="H246" s="3">
        <v>311.67</v>
      </c>
      <c r="I246" s="3">
        <v>313.39</v>
      </c>
      <c r="J246" s="3">
        <v>313.69</v>
      </c>
      <c r="K246" s="3">
        <v>316.14999999999998</v>
      </c>
      <c r="L246" s="3">
        <v>320.05</v>
      </c>
      <c r="M246" s="3">
        <v>2</v>
      </c>
      <c r="N246" s="3">
        <v>1</v>
      </c>
      <c r="O246" s="3">
        <v>2</v>
      </c>
    </row>
    <row r="247" spans="1:15" hidden="1">
      <c r="A247" s="3">
        <v>562004</v>
      </c>
      <c r="B247" s="3" t="s">
        <v>284</v>
      </c>
      <c r="C247" s="3" t="s">
        <v>264</v>
      </c>
      <c r="D247" s="3">
        <v>-32.680799999999998</v>
      </c>
      <c r="E247" s="3">
        <v>148.9478</v>
      </c>
      <c r="F247" s="3" t="s">
        <v>17</v>
      </c>
      <c r="G247" s="3" t="s">
        <v>18</v>
      </c>
      <c r="H247" s="3">
        <v>323.14999999999998</v>
      </c>
      <c r="L247" s="3">
        <v>323.26</v>
      </c>
      <c r="M247" s="3">
        <v>2</v>
      </c>
      <c r="N247" s="3">
        <v>1</v>
      </c>
      <c r="O247" s="3">
        <f>M247*N247</f>
        <v>2</v>
      </c>
    </row>
    <row r="248" spans="1:15" hidden="1">
      <c r="A248" s="3">
        <v>563005</v>
      </c>
      <c r="B248" s="3" t="s">
        <v>285</v>
      </c>
      <c r="C248" s="3" t="s">
        <v>264</v>
      </c>
      <c r="D248" s="3">
        <v>-33.163600000000002</v>
      </c>
      <c r="E248" s="3">
        <v>148.9597</v>
      </c>
      <c r="F248" s="3" t="s">
        <v>17</v>
      </c>
      <c r="G248" s="3" t="s">
        <v>21</v>
      </c>
      <c r="H248" s="3">
        <v>619.01</v>
      </c>
      <c r="M248" s="3">
        <v>1</v>
      </c>
      <c r="N248" s="3">
        <v>1</v>
      </c>
      <c r="O248" s="3">
        <f>M248*N248</f>
        <v>1</v>
      </c>
    </row>
    <row r="249" spans="1:15" hidden="1">
      <c r="A249" s="3">
        <v>563017</v>
      </c>
      <c r="B249" s="3" t="s">
        <v>286</v>
      </c>
      <c r="C249" s="3" t="s">
        <v>264</v>
      </c>
      <c r="D249" s="3">
        <v>-33.0306</v>
      </c>
      <c r="E249" s="3">
        <v>148.94999999999999</v>
      </c>
      <c r="F249" s="3" t="s">
        <v>17</v>
      </c>
      <c r="G249" s="3" t="s">
        <v>18</v>
      </c>
      <c r="H249" s="3">
        <v>527.91999999999996</v>
      </c>
      <c r="I249" s="3">
        <v>528.16</v>
      </c>
      <c r="J249" s="3">
        <v>528.25</v>
      </c>
      <c r="K249" s="3">
        <v>528.53</v>
      </c>
      <c r="L249" s="3">
        <v>529.29</v>
      </c>
      <c r="M249" s="3">
        <v>1</v>
      </c>
      <c r="N249" s="3">
        <v>1</v>
      </c>
      <c r="O249" s="3">
        <v>1</v>
      </c>
    </row>
    <row r="250" spans="1:15" hidden="1">
      <c r="A250" s="3">
        <v>563049</v>
      </c>
      <c r="B250" s="3" t="s">
        <v>287</v>
      </c>
      <c r="C250" s="3" t="s">
        <v>264</v>
      </c>
      <c r="D250" s="3">
        <v>-33.285699999999999</v>
      </c>
      <c r="E250" s="3">
        <v>149.09970000000001</v>
      </c>
      <c r="F250" s="3" t="s">
        <v>17</v>
      </c>
      <c r="G250" s="3" t="s">
        <v>21</v>
      </c>
      <c r="H250" s="3">
        <v>861.29</v>
      </c>
      <c r="L250" s="3">
        <v>861.49</v>
      </c>
      <c r="M250" s="3">
        <v>2</v>
      </c>
      <c r="N250" s="3">
        <v>1</v>
      </c>
      <c r="O250" s="3">
        <f>M250*N250</f>
        <v>2</v>
      </c>
    </row>
    <row r="251" spans="1:15" hidden="1">
      <c r="A251" s="3">
        <v>563061</v>
      </c>
      <c r="B251" s="3" t="s">
        <v>288</v>
      </c>
      <c r="C251" s="3" t="s">
        <v>264</v>
      </c>
      <c r="D251" s="3">
        <v>-33.527299999999997</v>
      </c>
      <c r="E251" s="3">
        <v>149.5206</v>
      </c>
      <c r="F251" s="3" t="s">
        <v>17</v>
      </c>
      <c r="G251" s="3" t="s">
        <v>21</v>
      </c>
      <c r="H251" s="3">
        <v>686.52</v>
      </c>
      <c r="M251" s="3">
        <v>1</v>
      </c>
      <c r="N251" s="3">
        <v>1</v>
      </c>
      <c r="O251" s="3">
        <f>M251*N251</f>
        <v>1</v>
      </c>
    </row>
    <row r="252" spans="1:15" hidden="1">
      <c r="A252" s="3">
        <v>563080</v>
      </c>
      <c r="B252" s="3" t="s">
        <v>289</v>
      </c>
      <c r="C252" s="3" t="s">
        <v>264</v>
      </c>
      <c r="D252" s="3">
        <v>-33.493099999999998</v>
      </c>
      <c r="E252" s="3">
        <v>149.62049999999999</v>
      </c>
      <c r="F252" s="3" t="s">
        <v>17</v>
      </c>
      <c r="G252" s="3" t="s">
        <v>18</v>
      </c>
      <c r="H252" s="3">
        <v>667.4</v>
      </c>
      <c r="I252" s="3">
        <v>669.74</v>
      </c>
      <c r="J252" s="3">
        <v>670.04</v>
      </c>
      <c r="K252" s="3">
        <v>671.01</v>
      </c>
      <c r="L252" s="3">
        <v>674.14</v>
      </c>
      <c r="M252" s="3">
        <v>2</v>
      </c>
      <c r="N252" s="3">
        <v>1</v>
      </c>
      <c r="O252" s="3">
        <v>2</v>
      </c>
    </row>
    <row r="253" spans="1:15" hidden="1">
      <c r="A253" s="3">
        <v>563081</v>
      </c>
      <c r="B253" s="3" t="s">
        <v>290</v>
      </c>
      <c r="C253" s="3" t="s">
        <v>264</v>
      </c>
      <c r="D253" s="3">
        <v>-33.277099999999997</v>
      </c>
      <c r="E253" s="3">
        <v>149.1063</v>
      </c>
      <c r="F253" s="3" t="s">
        <v>17</v>
      </c>
      <c r="G253" s="3" t="s">
        <v>18</v>
      </c>
      <c r="H253" s="3">
        <v>857.46</v>
      </c>
      <c r="K253" s="3">
        <v>857.58</v>
      </c>
      <c r="L253" s="3">
        <v>857.83</v>
      </c>
      <c r="M253" s="3">
        <v>2</v>
      </c>
      <c r="N253" s="3">
        <v>1</v>
      </c>
      <c r="O253" s="3">
        <f>M253*N253</f>
        <v>2</v>
      </c>
    </row>
    <row r="254" spans="1:15" hidden="1">
      <c r="A254" s="3">
        <v>564002</v>
      </c>
      <c r="B254" s="3" t="s">
        <v>291</v>
      </c>
      <c r="C254" s="3" t="s">
        <v>264</v>
      </c>
      <c r="D254" s="3">
        <v>-32.1</v>
      </c>
      <c r="E254" s="3">
        <v>149.0667</v>
      </c>
      <c r="F254" s="3" t="s">
        <v>17</v>
      </c>
      <c r="G254" s="3" t="s">
        <v>18</v>
      </c>
      <c r="H254" s="3">
        <v>333.88</v>
      </c>
      <c r="L254" s="3">
        <v>334.21</v>
      </c>
      <c r="M254" s="3">
        <v>1</v>
      </c>
      <c r="N254" s="3">
        <v>1</v>
      </c>
      <c r="O254" s="3">
        <f>M254*N254</f>
        <v>1</v>
      </c>
    </row>
    <row r="255" spans="1:15" hidden="1">
      <c r="A255" s="3">
        <v>565001</v>
      </c>
      <c r="B255" s="3" t="s">
        <v>292</v>
      </c>
      <c r="C255" s="3" t="s">
        <v>264</v>
      </c>
      <c r="D255" s="3">
        <v>-32.273299999999999</v>
      </c>
      <c r="E255" s="3">
        <v>148.60169999999999</v>
      </c>
      <c r="F255" s="3" t="s">
        <v>17</v>
      </c>
      <c r="G255" s="3" t="s">
        <v>18</v>
      </c>
      <c r="H255" s="3">
        <v>259.77999999999997</v>
      </c>
      <c r="I255" s="3">
        <v>263.02999999999997</v>
      </c>
      <c r="J255" s="3">
        <v>263.8</v>
      </c>
      <c r="K255" s="3">
        <v>265.51</v>
      </c>
      <c r="L255" s="3">
        <v>268.24</v>
      </c>
      <c r="M255" s="3">
        <v>2</v>
      </c>
      <c r="N255" s="3">
        <v>1</v>
      </c>
      <c r="O255" s="3">
        <v>2</v>
      </c>
    </row>
    <row r="256" spans="1:15">
      <c r="A256" s="3">
        <v>565002</v>
      </c>
      <c r="B256" s="3" t="s">
        <v>293</v>
      </c>
      <c r="C256" s="3" t="s">
        <v>264</v>
      </c>
      <c r="D256" s="3">
        <v>-32.545000000000002</v>
      </c>
      <c r="E256" s="3">
        <v>148.94329999999999</v>
      </c>
      <c r="F256" s="3" t="s">
        <v>17</v>
      </c>
      <c r="G256" s="3" t="s">
        <v>18</v>
      </c>
      <c r="H256" s="3">
        <v>294.98</v>
      </c>
      <c r="I256" s="3">
        <v>294.99</v>
      </c>
      <c r="J256" s="3">
        <v>294.99</v>
      </c>
      <c r="K256" s="3">
        <v>296.10000000000002</v>
      </c>
      <c r="L256" s="3">
        <v>298.17</v>
      </c>
      <c r="M256" s="3">
        <v>2</v>
      </c>
      <c r="N256" s="3">
        <v>2</v>
      </c>
      <c r="O256" s="3">
        <v>4</v>
      </c>
    </row>
    <row r="257" spans="1:15" hidden="1">
      <c r="A257" s="3">
        <v>565005</v>
      </c>
      <c r="B257" s="3" t="s">
        <v>294</v>
      </c>
      <c r="C257" s="3" t="s">
        <v>264</v>
      </c>
      <c r="D257" s="3">
        <v>-32.708300000000001</v>
      </c>
      <c r="E257" s="3">
        <v>148.55170000000001</v>
      </c>
      <c r="F257" s="3" t="s">
        <v>17</v>
      </c>
      <c r="G257" s="3" t="s">
        <v>18</v>
      </c>
      <c r="H257" s="3">
        <v>392.85</v>
      </c>
      <c r="M257" s="3">
        <v>1</v>
      </c>
      <c r="N257" s="3">
        <v>1</v>
      </c>
      <c r="O257" s="3">
        <f>M257*N257</f>
        <v>1</v>
      </c>
    </row>
    <row r="258" spans="1:15" hidden="1">
      <c r="A258" s="3">
        <v>565009</v>
      </c>
      <c r="B258" s="3" t="s">
        <v>295</v>
      </c>
      <c r="C258" s="3" t="s">
        <v>264</v>
      </c>
      <c r="D258" s="3">
        <v>-32.134999999999998</v>
      </c>
      <c r="E258" s="3">
        <v>148.45330000000001</v>
      </c>
      <c r="F258" s="3" t="s">
        <v>17</v>
      </c>
      <c r="G258" s="3" t="s">
        <v>18</v>
      </c>
      <c r="H258" s="3">
        <v>252.31</v>
      </c>
      <c r="I258" s="3">
        <v>252.51</v>
      </c>
      <c r="J258" s="3">
        <v>252.7</v>
      </c>
      <c r="K258" s="3">
        <v>252.78</v>
      </c>
      <c r="L258" s="3">
        <v>252.9</v>
      </c>
      <c r="M258" s="3">
        <v>1</v>
      </c>
      <c r="N258" s="3">
        <v>2</v>
      </c>
      <c r="O258" s="3">
        <v>2</v>
      </c>
    </row>
    <row r="259" spans="1:15" hidden="1">
      <c r="A259" s="3">
        <v>565018</v>
      </c>
      <c r="B259" s="3" t="s">
        <v>296</v>
      </c>
      <c r="C259" s="3" t="s">
        <v>264</v>
      </c>
      <c r="D259" s="3">
        <v>-32.800600000000003</v>
      </c>
      <c r="E259" s="3">
        <v>148.9803</v>
      </c>
      <c r="F259" s="3" t="s">
        <v>17</v>
      </c>
      <c r="G259" s="3" t="s">
        <v>18</v>
      </c>
      <c r="H259" s="3">
        <v>372.33</v>
      </c>
      <c r="M259" s="3">
        <v>1</v>
      </c>
      <c r="N259" s="3">
        <v>1</v>
      </c>
      <c r="O259" s="3">
        <f>M259*N259</f>
        <v>1</v>
      </c>
    </row>
    <row r="260" spans="1:15" hidden="1">
      <c r="A260" s="3">
        <v>561062</v>
      </c>
      <c r="B260" s="3" t="s">
        <v>297</v>
      </c>
      <c r="C260" s="3" t="s">
        <v>298</v>
      </c>
      <c r="D260" s="3">
        <v>-33.084200000000003</v>
      </c>
      <c r="E260" s="3">
        <v>151.48249999999999</v>
      </c>
      <c r="F260" s="3" t="s">
        <v>17</v>
      </c>
      <c r="G260" s="3" t="s">
        <v>18</v>
      </c>
      <c r="H260" s="3">
        <v>0.33</v>
      </c>
      <c r="I260" s="3">
        <v>1.65</v>
      </c>
      <c r="J260" s="3">
        <v>1.87</v>
      </c>
      <c r="K260" s="3">
        <v>2.3199999999999998</v>
      </c>
      <c r="L260" s="3">
        <v>3.65</v>
      </c>
      <c r="M260" s="3">
        <v>1</v>
      </c>
      <c r="N260" s="3">
        <v>2</v>
      </c>
      <c r="O260" s="3">
        <v>2</v>
      </c>
    </row>
    <row r="261" spans="1:15">
      <c r="A261" s="3">
        <v>561063</v>
      </c>
      <c r="B261" s="3" t="s">
        <v>299</v>
      </c>
      <c r="C261" s="3" t="s">
        <v>298</v>
      </c>
      <c r="D261" s="3">
        <v>-32.979399999999998</v>
      </c>
      <c r="E261" s="3">
        <v>151.62</v>
      </c>
      <c r="F261" s="3" t="s">
        <v>17</v>
      </c>
      <c r="G261" s="3" t="s">
        <v>18</v>
      </c>
      <c r="H261" s="3">
        <v>0.01</v>
      </c>
      <c r="I261" s="3">
        <v>0.11</v>
      </c>
      <c r="J261" s="3">
        <v>0.11</v>
      </c>
      <c r="K261" s="3">
        <v>0.11</v>
      </c>
      <c r="L261" s="3">
        <v>0.11</v>
      </c>
      <c r="M261" s="3">
        <v>2</v>
      </c>
      <c r="N261" s="3">
        <v>2</v>
      </c>
      <c r="O261" s="3">
        <v>4</v>
      </c>
    </row>
    <row r="262" spans="1:15">
      <c r="A262" s="3">
        <v>561070</v>
      </c>
      <c r="B262" s="3" t="s">
        <v>300</v>
      </c>
      <c r="C262" s="3" t="s">
        <v>298</v>
      </c>
      <c r="D262" s="3">
        <v>-33.041499999999999</v>
      </c>
      <c r="E262" s="3">
        <v>151.6541</v>
      </c>
      <c r="F262" s="3" t="s">
        <v>17</v>
      </c>
      <c r="G262" s="3" t="s">
        <v>18</v>
      </c>
      <c r="H262" s="3">
        <v>0.98</v>
      </c>
      <c r="I262" s="3">
        <v>0.99</v>
      </c>
      <c r="J262" s="3">
        <v>0.99</v>
      </c>
      <c r="K262" s="3">
        <v>0.99</v>
      </c>
      <c r="L262" s="3">
        <v>0.99</v>
      </c>
      <c r="M262" s="3">
        <v>2</v>
      </c>
      <c r="N262" s="3">
        <v>3</v>
      </c>
      <c r="O262" s="3">
        <v>6</v>
      </c>
    </row>
    <row r="263" spans="1:15" hidden="1">
      <c r="A263" s="3">
        <v>561074</v>
      </c>
      <c r="B263" s="3" t="s">
        <v>301</v>
      </c>
      <c r="C263" s="3" t="s">
        <v>298</v>
      </c>
      <c r="D263" s="3">
        <v>-33.079700000000003</v>
      </c>
      <c r="E263" s="3">
        <v>151.45079999999999</v>
      </c>
      <c r="F263" s="3" t="s">
        <v>17</v>
      </c>
      <c r="G263" s="3" t="s">
        <v>18</v>
      </c>
      <c r="H263" s="3">
        <v>17.2</v>
      </c>
      <c r="M263" s="3">
        <v>1</v>
      </c>
      <c r="N263" s="3">
        <v>1</v>
      </c>
      <c r="O263" s="3">
        <f>M263*N263</f>
        <v>1</v>
      </c>
    </row>
    <row r="264" spans="1:15" hidden="1">
      <c r="A264" s="3">
        <v>47100</v>
      </c>
      <c r="B264" s="3" t="s">
        <v>302</v>
      </c>
      <c r="C264" s="3" t="s">
        <v>303</v>
      </c>
      <c r="D264" s="3">
        <v>-34.111699999999999</v>
      </c>
      <c r="E264" s="3">
        <v>141.9033</v>
      </c>
      <c r="F264" s="3" t="s">
        <v>17</v>
      </c>
      <c r="G264" s="3" t="s">
        <v>18</v>
      </c>
      <c r="H264" s="3">
        <v>33.11</v>
      </c>
      <c r="I264" s="3">
        <v>34.96</v>
      </c>
      <c r="J264" s="3">
        <v>35.1</v>
      </c>
      <c r="K264" s="3">
        <v>35.19</v>
      </c>
      <c r="L264" s="3">
        <v>35.28</v>
      </c>
      <c r="M264" s="3">
        <v>2</v>
      </c>
      <c r="N264" s="3">
        <v>1</v>
      </c>
      <c r="O264" s="3">
        <v>2</v>
      </c>
    </row>
    <row r="265" spans="1:15">
      <c r="A265" s="3">
        <v>76124</v>
      </c>
      <c r="B265" s="3" t="s">
        <v>304</v>
      </c>
      <c r="C265" s="3" t="s">
        <v>303</v>
      </c>
      <c r="D265" s="3">
        <v>-34.172800000000002</v>
      </c>
      <c r="E265" s="3">
        <v>142.1626</v>
      </c>
      <c r="F265" s="3" t="s">
        <v>305</v>
      </c>
      <c r="G265" s="3" t="s">
        <v>49</v>
      </c>
      <c r="H265" s="3">
        <v>35.36</v>
      </c>
      <c r="I265" s="3">
        <v>39.42</v>
      </c>
      <c r="J265" s="3">
        <v>39.630000000000003</v>
      </c>
      <c r="K265" s="3">
        <v>39.76</v>
      </c>
      <c r="L265" s="3">
        <v>39.869999999999997</v>
      </c>
      <c r="M265" s="3">
        <v>2</v>
      </c>
      <c r="N265" s="3">
        <v>2</v>
      </c>
      <c r="O265" s="3">
        <v>4</v>
      </c>
    </row>
    <row r="266" spans="1:15" hidden="1">
      <c r="A266" s="3">
        <v>60117</v>
      </c>
      <c r="B266" s="3" t="s">
        <v>306</v>
      </c>
      <c r="C266" s="3" t="s">
        <v>307</v>
      </c>
      <c r="D266" s="3">
        <v>-31.883299999999998</v>
      </c>
      <c r="E266" s="3">
        <v>152.15</v>
      </c>
      <c r="F266" s="3" t="s">
        <v>17</v>
      </c>
      <c r="G266" s="3" t="s">
        <v>21</v>
      </c>
      <c r="H266" s="3">
        <v>51.38</v>
      </c>
      <c r="M266" s="3">
        <v>1</v>
      </c>
      <c r="N266" s="3">
        <v>1</v>
      </c>
      <c r="O266" s="3">
        <f>M266*N266</f>
        <v>1</v>
      </c>
    </row>
    <row r="267" spans="1:15" hidden="1">
      <c r="A267" s="3">
        <v>60118</v>
      </c>
      <c r="B267" s="3" t="s">
        <v>308</v>
      </c>
      <c r="C267" s="3" t="s">
        <v>307</v>
      </c>
      <c r="D267" s="3">
        <v>-31.775300000000001</v>
      </c>
      <c r="E267" s="3">
        <v>152.0778</v>
      </c>
      <c r="F267" s="3" t="s">
        <v>17</v>
      </c>
      <c r="G267" s="3" t="s">
        <v>21</v>
      </c>
      <c r="H267" s="3">
        <v>78.09</v>
      </c>
      <c r="I267" s="3">
        <v>82.01</v>
      </c>
      <c r="J267" s="3">
        <v>82.81</v>
      </c>
      <c r="K267" s="3">
        <v>84.77</v>
      </c>
      <c r="L267" s="3">
        <v>89</v>
      </c>
      <c r="M267" s="3">
        <v>1</v>
      </c>
      <c r="N267" s="3">
        <v>1</v>
      </c>
      <c r="O267" s="3">
        <v>1</v>
      </c>
    </row>
    <row r="268" spans="1:15" hidden="1">
      <c r="A268" s="3">
        <v>60119</v>
      </c>
      <c r="B268" s="3" t="s">
        <v>309</v>
      </c>
      <c r="C268" s="3" t="s">
        <v>307</v>
      </c>
      <c r="D268" s="3">
        <v>-31.914999999999999</v>
      </c>
      <c r="E268" s="3">
        <v>152.4667</v>
      </c>
      <c r="F268" s="3" t="s">
        <v>17</v>
      </c>
      <c r="G268" s="3" t="s">
        <v>18</v>
      </c>
      <c r="H268" s="3">
        <v>0.99</v>
      </c>
      <c r="I268" s="3">
        <v>4.22</v>
      </c>
      <c r="J268" s="3">
        <v>4.5599999999999996</v>
      </c>
      <c r="K268" s="3">
        <v>5.15</v>
      </c>
      <c r="L268" s="3">
        <v>6.61</v>
      </c>
      <c r="M268" s="3">
        <v>2</v>
      </c>
      <c r="N268" s="3">
        <v>1</v>
      </c>
      <c r="O268" s="3">
        <v>2</v>
      </c>
    </row>
    <row r="269" spans="1:15" hidden="1">
      <c r="A269" s="3">
        <v>60120</v>
      </c>
      <c r="B269" s="3" t="s">
        <v>310</v>
      </c>
      <c r="C269" s="3" t="s">
        <v>307</v>
      </c>
      <c r="D269" s="3">
        <v>-31.878299999999999</v>
      </c>
      <c r="E269" s="3">
        <v>152.3717</v>
      </c>
      <c r="F269" s="3" t="s">
        <v>17</v>
      </c>
      <c r="G269" s="3" t="s">
        <v>18</v>
      </c>
      <c r="H269" s="3">
        <v>22.07</v>
      </c>
      <c r="M269" s="3">
        <v>2</v>
      </c>
      <c r="N269" s="3">
        <v>1</v>
      </c>
      <c r="O269" s="3">
        <f>M269*N269</f>
        <v>2</v>
      </c>
    </row>
    <row r="270" spans="1:15" hidden="1">
      <c r="A270" s="3">
        <v>60129</v>
      </c>
      <c r="B270" s="3" t="s">
        <v>311</v>
      </c>
      <c r="C270" s="3" t="s">
        <v>307</v>
      </c>
      <c r="D270" s="3">
        <v>-31.9117</v>
      </c>
      <c r="E270" s="3">
        <v>152.31809999999999</v>
      </c>
      <c r="F270" s="3" t="s">
        <v>17</v>
      </c>
      <c r="G270" s="3" t="s">
        <v>18</v>
      </c>
      <c r="H270" s="3">
        <v>26.33</v>
      </c>
      <c r="L270" s="3">
        <v>27.53</v>
      </c>
      <c r="M270" s="3">
        <v>2</v>
      </c>
      <c r="N270" s="3">
        <v>1</v>
      </c>
      <c r="O270" s="3">
        <f>M270*N270</f>
        <v>2</v>
      </c>
    </row>
    <row r="271" spans="1:15" hidden="1">
      <c r="A271" s="3">
        <v>60137</v>
      </c>
      <c r="B271" s="3" t="s">
        <v>312</v>
      </c>
      <c r="C271" s="3" t="s">
        <v>307</v>
      </c>
      <c r="D271" s="3">
        <v>-31.7683</v>
      </c>
      <c r="E271" s="3">
        <v>151.88890000000001</v>
      </c>
      <c r="F271" s="3" t="s">
        <v>17</v>
      </c>
      <c r="G271" s="3" t="s">
        <v>21</v>
      </c>
      <c r="H271" s="3">
        <v>168.64</v>
      </c>
      <c r="I271" s="3">
        <v>172.61</v>
      </c>
      <c r="J271" s="3">
        <v>172.61</v>
      </c>
      <c r="K271" s="3">
        <v>172.61</v>
      </c>
      <c r="L271" s="3">
        <v>172.61</v>
      </c>
      <c r="M271" s="3">
        <v>1</v>
      </c>
      <c r="N271" s="3">
        <v>1</v>
      </c>
      <c r="O271" s="3">
        <v>1</v>
      </c>
    </row>
    <row r="272" spans="1:15" hidden="1">
      <c r="A272" s="3">
        <v>560001</v>
      </c>
      <c r="B272" s="3" t="s">
        <v>313</v>
      </c>
      <c r="C272" s="3" t="s">
        <v>307</v>
      </c>
      <c r="D272" s="3">
        <v>-32.037999999999997</v>
      </c>
      <c r="E272" s="3">
        <v>151.86670000000001</v>
      </c>
      <c r="F272" s="3" t="s">
        <v>17</v>
      </c>
      <c r="G272" s="3" t="s">
        <v>18</v>
      </c>
      <c r="H272" s="3">
        <v>137.75</v>
      </c>
      <c r="L272" s="3">
        <v>137.87</v>
      </c>
      <c r="M272" s="3">
        <v>1</v>
      </c>
      <c r="N272" s="3">
        <v>1</v>
      </c>
      <c r="O272" s="3">
        <f>M272*N272</f>
        <v>1</v>
      </c>
    </row>
    <row r="273" spans="1:15" hidden="1">
      <c r="A273" s="3">
        <v>560006</v>
      </c>
      <c r="B273" s="3" t="s">
        <v>314</v>
      </c>
      <c r="C273" s="3" t="s">
        <v>307</v>
      </c>
      <c r="D273" s="3">
        <v>-31.897500000000001</v>
      </c>
      <c r="E273" s="3">
        <v>152.0975</v>
      </c>
      <c r="F273" s="3" t="s">
        <v>17</v>
      </c>
      <c r="G273" s="3" t="s">
        <v>21</v>
      </c>
      <c r="H273" s="3">
        <v>102.08</v>
      </c>
      <c r="M273" s="3">
        <v>1</v>
      </c>
      <c r="N273" s="3">
        <v>1</v>
      </c>
      <c r="O273" s="3">
        <f>M273*N273</f>
        <v>1</v>
      </c>
    </row>
    <row r="274" spans="1:15">
      <c r="A274" s="3">
        <v>560008</v>
      </c>
      <c r="B274" s="3" t="s">
        <v>315</v>
      </c>
      <c r="C274" s="3" t="s">
        <v>307</v>
      </c>
      <c r="D274" s="3">
        <v>-31.878299999999999</v>
      </c>
      <c r="E274" s="3">
        <v>152.5933</v>
      </c>
      <c r="F274" s="3" t="s">
        <v>17</v>
      </c>
      <c r="G274" s="3" t="s">
        <v>18</v>
      </c>
      <c r="H274" s="3">
        <v>-0.02</v>
      </c>
      <c r="I274" s="3">
        <v>2.6</v>
      </c>
      <c r="J274" s="3">
        <v>2.88</v>
      </c>
      <c r="K274" s="3">
        <v>3.19</v>
      </c>
      <c r="L274" s="3">
        <v>3.59</v>
      </c>
      <c r="M274" s="3">
        <v>2</v>
      </c>
      <c r="N274" s="3">
        <v>3</v>
      </c>
      <c r="O274" s="3">
        <v>6</v>
      </c>
    </row>
    <row r="275" spans="1:15">
      <c r="A275" s="3">
        <v>560027</v>
      </c>
      <c r="B275" s="3" t="s">
        <v>316</v>
      </c>
      <c r="C275" s="3" t="s">
        <v>307</v>
      </c>
      <c r="D275" s="3">
        <v>-31.875</v>
      </c>
      <c r="E275" s="3">
        <v>152.6883</v>
      </c>
      <c r="F275" s="3" t="s">
        <v>17</v>
      </c>
      <c r="G275" s="3" t="s">
        <v>18</v>
      </c>
      <c r="H275" s="3">
        <v>0.66</v>
      </c>
      <c r="I275" s="3">
        <v>1.9</v>
      </c>
      <c r="J275" s="3">
        <v>2</v>
      </c>
      <c r="K275" s="3">
        <v>2.13</v>
      </c>
      <c r="L275" s="3">
        <v>2.59</v>
      </c>
      <c r="M275" s="3">
        <v>2</v>
      </c>
      <c r="N275" s="3">
        <v>3</v>
      </c>
      <c r="O275" s="3">
        <v>6</v>
      </c>
    </row>
    <row r="276" spans="1:15" hidden="1">
      <c r="A276" s="3">
        <v>560035</v>
      </c>
      <c r="B276" s="3" t="s">
        <v>317</v>
      </c>
      <c r="C276" s="3" t="s">
        <v>307</v>
      </c>
      <c r="D276" s="3">
        <v>-31.5183</v>
      </c>
      <c r="E276" s="3">
        <v>151.71469999999999</v>
      </c>
      <c r="F276" s="3" t="s">
        <v>17</v>
      </c>
      <c r="G276" s="3" t="s">
        <v>18</v>
      </c>
      <c r="H276" s="3">
        <v>866.38</v>
      </c>
      <c r="M276" s="3">
        <v>1</v>
      </c>
      <c r="N276" s="3">
        <v>1</v>
      </c>
      <c r="O276" s="3">
        <f>M276*N276</f>
        <v>1</v>
      </c>
    </row>
    <row r="277" spans="1:15" hidden="1">
      <c r="A277" s="3">
        <v>560037</v>
      </c>
      <c r="B277" s="3" t="s">
        <v>318</v>
      </c>
      <c r="C277" s="3" t="s">
        <v>307</v>
      </c>
      <c r="D277" s="3">
        <v>-31.788900000000002</v>
      </c>
      <c r="E277" s="3">
        <v>152.5128</v>
      </c>
      <c r="F277" s="3" t="s">
        <v>17</v>
      </c>
      <c r="G277" s="3" t="s">
        <v>18</v>
      </c>
      <c r="H277" s="3">
        <v>10.15</v>
      </c>
      <c r="I277" s="3">
        <v>13</v>
      </c>
      <c r="J277" s="3">
        <v>13.16</v>
      </c>
      <c r="K277" s="3">
        <v>13.62</v>
      </c>
      <c r="L277" s="3">
        <v>14.39</v>
      </c>
      <c r="M277" s="3">
        <v>2</v>
      </c>
      <c r="N277" s="3">
        <v>1</v>
      </c>
      <c r="O277" s="3">
        <v>2</v>
      </c>
    </row>
    <row r="278" spans="1:15" hidden="1">
      <c r="A278" s="3">
        <v>560060</v>
      </c>
      <c r="B278" s="3" t="s">
        <v>319</v>
      </c>
      <c r="C278" s="3" t="s">
        <v>307</v>
      </c>
      <c r="D278" s="3">
        <v>-32.043900000000001</v>
      </c>
      <c r="E278" s="3">
        <v>151.96250000000001</v>
      </c>
      <c r="F278" s="3" t="s">
        <v>17</v>
      </c>
      <c r="G278" s="3" t="s">
        <v>49</v>
      </c>
      <c r="H278" s="3">
        <v>96.54</v>
      </c>
      <c r="I278" s="3">
        <v>98.25</v>
      </c>
      <c r="J278" s="3">
        <v>98.34</v>
      </c>
      <c r="K278" s="3">
        <v>98.59</v>
      </c>
      <c r="L278" s="3">
        <v>99.12</v>
      </c>
      <c r="M278" s="3">
        <v>1</v>
      </c>
      <c r="N278" s="3">
        <v>1</v>
      </c>
      <c r="O278" s="3">
        <v>1</v>
      </c>
    </row>
    <row r="279" spans="1:15" hidden="1">
      <c r="A279" s="3">
        <v>560061</v>
      </c>
      <c r="B279" s="3" t="s">
        <v>320</v>
      </c>
      <c r="C279" s="3" t="s">
        <v>307</v>
      </c>
      <c r="D279" s="3">
        <v>-32.058999999999997</v>
      </c>
      <c r="E279" s="3">
        <v>151.89699999999999</v>
      </c>
      <c r="F279" s="3" t="s">
        <v>17</v>
      </c>
      <c r="G279" s="3" t="s">
        <v>18</v>
      </c>
      <c r="H279" s="3">
        <v>135.87</v>
      </c>
      <c r="M279" s="3">
        <v>1</v>
      </c>
      <c r="N279" s="3">
        <v>1</v>
      </c>
      <c r="O279" s="3">
        <f>M279*N279</f>
        <v>1</v>
      </c>
    </row>
    <row r="280" spans="1:15" hidden="1">
      <c r="A280" s="3">
        <v>560062</v>
      </c>
      <c r="B280" s="3" t="s">
        <v>321</v>
      </c>
      <c r="C280" s="3" t="s">
        <v>307</v>
      </c>
      <c r="D280" s="3">
        <v>-32.005000000000003</v>
      </c>
      <c r="E280" s="3">
        <v>151.958</v>
      </c>
      <c r="F280" s="3" t="s">
        <v>17</v>
      </c>
      <c r="G280" s="3" t="s">
        <v>18</v>
      </c>
      <c r="H280" s="3">
        <v>91.89</v>
      </c>
      <c r="I280" s="3">
        <v>92.45</v>
      </c>
      <c r="J280" s="3">
        <v>92.63</v>
      </c>
      <c r="K280" s="3">
        <v>93.09</v>
      </c>
      <c r="L280" s="3">
        <v>94.35</v>
      </c>
      <c r="M280" s="3">
        <v>1</v>
      </c>
      <c r="N280" s="3">
        <v>1</v>
      </c>
      <c r="O280" s="3">
        <v>1</v>
      </c>
    </row>
    <row r="281" spans="1:15" hidden="1">
      <c r="A281" s="3">
        <v>560065</v>
      </c>
      <c r="B281" s="3" t="s">
        <v>322</v>
      </c>
      <c r="C281" s="3" t="s">
        <v>307</v>
      </c>
      <c r="D281" s="3">
        <v>-31.843399999999999</v>
      </c>
      <c r="E281" s="3">
        <v>152.3013</v>
      </c>
      <c r="F281" s="3" t="s">
        <v>17</v>
      </c>
      <c r="G281" s="3" t="s">
        <v>18</v>
      </c>
      <c r="H281" s="3">
        <v>36.22</v>
      </c>
      <c r="I281" s="3">
        <v>36.619999999999997</v>
      </c>
      <c r="J281" s="3">
        <v>36.81</v>
      </c>
      <c r="K281" s="3">
        <v>37.56</v>
      </c>
      <c r="L281" s="3">
        <v>38.409999999999997</v>
      </c>
      <c r="M281" s="3">
        <v>2</v>
      </c>
      <c r="N281" s="3">
        <v>1</v>
      </c>
      <c r="O281" s="3">
        <v>2</v>
      </c>
    </row>
    <row r="282" spans="1:15" hidden="1">
      <c r="A282" s="3">
        <v>74246</v>
      </c>
      <c r="B282" s="3" t="s">
        <v>323</v>
      </c>
      <c r="C282" s="3" t="s">
        <v>324</v>
      </c>
      <c r="D282" s="3">
        <v>-36.011400000000002</v>
      </c>
      <c r="E282" s="3">
        <v>145.994</v>
      </c>
      <c r="F282" s="3" t="s">
        <v>17</v>
      </c>
      <c r="G282" s="3" t="s">
        <v>18</v>
      </c>
      <c r="H282" s="3">
        <v>117.88</v>
      </c>
      <c r="M282" s="3">
        <v>2</v>
      </c>
      <c r="N282" s="3">
        <v>1</v>
      </c>
      <c r="O282" s="3">
        <f>M282*N282</f>
        <v>2</v>
      </c>
    </row>
    <row r="283" spans="1:15" hidden="1">
      <c r="A283" s="3">
        <v>76112</v>
      </c>
      <c r="B283" s="3" t="s">
        <v>325</v>
      </c>
      <c r="C283" s="3" t="s">
        <v>324</v>
      </c>
      <c r="D283" s="3">
        <v>-35.327800000000003</v>
      </c>
      <c r="E283" s="3">
        <v>143.56399999999999</v>
      </c>
      <c r="F283" s="3" t="s">
        <v>305</v>
      </c>
      <c r="G283" s="3" t="s">
        <v>18</v>
      </c>
      <c r="H283" s="3">
        <v>67.790000000000006</v>
      </c>
      <c r="I283" s="3">
        <v>67.94</v>
      </c>
      <c r="J283" s="3">
        <v>67.989999999999995</v>
      </c>
      <c r="K283" s="3">
        <v>68.099999999999994</v>
      </c>
      <c r="L283" s="3">
        <v>68.23</v>
      </c>
      <c r="M283" s="3">
        <v>2</v>
      </c>
      <c r="N283" s="3">
        <v>1</v>
      </c>
      <c r="O283" s="3">
        <v>2</v>
      </c>
    </row>
    <row r="284" spans="1:15">
      <c r="A284" s="3">
        <v>76120</v>
      </c>
      <c r="B284" s="3" t="s">
        <v>326</v>
      </c>
      <c r="C284" s="3" t="s">
        <v>324</v>
      </c>
      <c r="D284" s="3">
        <v>-34.85</v>
      </c>
      <c r="E284" s="3">
        <v>143.3417</v>
      </c>
      <c r="F284" s="3" t="s">
        <v>305</v>
      </c>
      <c r="G284" s="3" t="s">
        <v>18</v>
      </c>
      <c r="H284" s="3">
        <v>59.79</v>
      </c>
      <c r="I284" s="3">
        <v>60.36</v>
      </c>
      <c r="J284" s="3">
        <v>60.55</v>
      </c>
      <c r="K284" s="3">
        <v>60.81</v>
      </c>
      <c r="L284" s="3">
        <v>60.99</v>
      </c>
      <c r="M284" s="3">
        <v>2</v>
      </c>
      <c r="N284" s="3">
        <v>3</v>
      </c>
      <c r="O284" s="3">
        <v>6</v>
      </c>
    </row>
    <row r="285" spans="1:15" hidden="1">
      <c r="A285" s="3">
        <v>76135</v>
      </c>
      <c r="B285" s="3" t="s">
        <v>327</v>
      </c>
      <c r="C285" s="3" t="s">
        <v>324</v>
      </c>
      <c r="D285" s="3">
        <v>-34.716999999999999</v>
      </c>
      <c r="E285" s="3">
        <v>143.17259999999999</v>
      </c>
      <c r="F285" s="3" t="s">
        <v>305</v>
      </c>
      <c r="G285" s="3" t="s">
        <v>18</v>
      </c>
      <c r="H285" s="3">
        <v>55.11</v>
      </c>
      <c r="I285" s="3">
        <v>56.87</v>
      </c>
      <c r="J285" s="3">
        <v>56.98</v>
      </c>
      <c r="K285" s="3">
        <v>57.04</v>
      </c>
      <c r="L285" s="3">
        <v>57.09</v>
      </c>
      <c r="M285" s="3">
        <v>2</v>
      </c>
      <c r="N285" s="3">
        <v>1</v>
      </c>
      <c r="O285" s="3">
        <v>2</v>
      </c>
    </row>
    <row r="286" spans="1:15" hidden="1">
      <c r="A286" s="3">
        <v>572000</v>
      </c>
      <c r="B286" s="3" t="s">
        <v>328</v>
      </c>
      <c r="C286" s="3" t="s">
        <v>324</v>
      </c>
      <c r="D286" s="3">
        <v>-36.093299999999999</v>
      </c>
      <c r="E286" s="3">
        <v>146.905</v>
      </c>
      <c r="F286" s="3" t="s">
        <v>17</v>
      </c>
      <c r="G286" s="3" t="s">
        <v>18</v>
      </c>
      <c r="H286" s="3">
        <v>160.35</v>
      </c>
      <c r="I286" s="3">
        <v>163.25</v>
      </c>
      <c r="J286" s="3">
        <v>163.43</v>
      </c>
      <c r="K286" s="3">
        <v>163.66999999999999</v>
      </c>
      <c r="L286" s="3">
        <v>163.96</v>
      </c>
      <c r="M286" s="3">
        <v>1</v>
      </c>
      <c r="N286" s="3">
        <v>1</v>
      </c>
      <c r="O286" s="3">
        <v>1</v>
      </c>
    </row>
    <row r="287" spans="1:15" hidden="1">
      <c r="A287" s="3">
        <v>572002</v>
      </c>
      <c r="B287" s="3" t="s">
        <v>329</v>
      </c>
      <c r="C287" s="3" t="s">
        <v>324</v>
      </c>
      <c r="D287" s="3">
        <v>-36.103299999999997</v>
      </c>
      <c r="E287" s="3">
        <v>147.02670000000001</v>
      </c>
      <c r="F287" s="3" t="s">
        <v>17</v>
      </c>
      <c r="G287" s="3" t="s">
        <v>18</v>
      </c>
      <c r="H287" s="3">
        <v>157</v>
      </c>
      <c r="I287" s="3">
        <v>157.26</v>
      </c>
      <c r="J287" s="3">
        <v>157.46</v>
      </c>
      <c r="K287" s="3">
        <v>157.87</v>
      </c>
      <c r="L287" s="3">
        <v>158.16</v>
      </c>
      <c r="M287" s="3">
        <v>1</v>
      </c>
      <c r="N287" s="3">
        <v>1</v>
      </c>
      <c r="O287" s="3">
        <v>1</v>
      </c>
    </row>
    <row r="288" spans="1:15" hidden="1">
      <c r="A288" s="3">
        <v>574003</v>
      </c>
      <c r="B288" s="3" t="s">
        <v>330</v>
      </c>
      <c r="C288" s="3" t="s">
        <v>324</v>
      </c>
      <c r="D288" s="3">
        <v>-35.941699999999997</v>
      </c>
      <c r="E288" s="3">
        <v>144.45830000000001</v>
      </c>
      <c r="F288" s="3" t="s">
        <v>17</v>
      </c>
      <c r="G288" s="3" t="s">
        <v>18</v>
      </c>
      <c r="H288" s="3">
        <v>85.93</v>
      </c>
      <c r="M288" s="3">
        <v>2</v>
      </c>
      <c r="N288" s="3">
        <v>1</v>
      </c>
      <c r="O288" s="3">
        <f>M288*N288</f>
        <v>2</v>
      </c>
    </row>
    <row r="289" spans="1:15">
      <c r="A289" s="3">
        <v>574004</v>
      </c>
      <c r="B289" s="3" t="s">
        <v>331</v>
      </c>
      <c r="C289" s="3" t="s">
        <v>324</v>
      </c>
      <c r="D289" s="3">
        <v>-35.815600000000003</v>
      </c>
      <c r="E289" s="3">
        <v>145.55500000000001</v>
      </c>
      <c r="F289" s="3" t="s">
        <v>17</v>
      </c>
      <c r="G289" s="3" t="s">
        <v>18</v>
      </c>
      <c r="H289" s="3">
        <v>110.27</v>
      </c>
      <c r="I289" s="3">
        <v>110.35</v>
      </c>
      <c r="J289" s="3">
        <v>110.41</v>
      </c>
      <c r="K289" s="3">
        <v>110.48</v>
      </c>
      <c r="L289" s="3">
        <v>110.59</v>
      </c>
      <c r="M289" s="3">
        <v>2</v>
      </c>
      <c r="N289" s="3">
        <v>2</v>
      </c>
      <c r="O289" s="3">
        <v>4</v>
      </c>
    </row>
    <row r="290" spans="1:15" hidden="1">
      <c r="A290" s="3">
        <v>574010</v>
      </c>
      <c r="B290" s="3" t="s">
        <v>332</v>
      </c>
      <c r="C290" s="3" t="s">
        <v>324</v>
      </c>
      <c r="D290" s="3">
        <v>-35.528300000000002</v>
      </c>
      <c r="E290" s="3">
        <v>144.9633</v>
      </c>
      <c r="F290" s="3" t="s">
        <v>17</v>
      </c>
      <c r="G290" s="3" t="s">
        <v>18</v>
      </c>
      <c r="H290" s="3">
        <v>92.12</v>
      </c>
      <c r="M290" s="3">
        <v>2</v>
      </c>
      <c r="N290" s="3">
        <v>1</v>
      </c>
      <c r="O290" s="3">
        <f>M290*N290</f>
        <v>2</v>
      </c>
    </row>
    <row r="291" spans="1:15">
      <c r="A291" s="3">
        <v>574024</v>
      </c>
      <c r="B291" s="3" t="s">
        <v>333</v>
      </c>
      <c r="C291" s="3" t="s">
        <v>324</v>
      </c>
      <c r="D291" s="3">
        <v>-35.44</v>
      </c>
      <c r="E291" s="3">
        <v>144.762</v>
      </c>
      <c r="F291" s="3" t="s">
        <v>17</v>
      </c>
      <c r="G291" s="3" t="s">
        <v>18</v>
      </c>
      <c r="H291" s="3">
        <v>85.83</v>
      </c>
      <c r="I291" s="3">
        <v>86.02</v>
      </c>
      <c r="J291" s="3">
        <v>86.03</v>
      </c>
      <c r="K291" s="3">
        <v>86.09</v>
      </c>
      <c r="L291" s="3">
        <v>86.13</v>
      </c>
      <c r="M291" s="3">
        <v>2</v>
      </c>
      <c r="N291" s="3">
        <v>2</v>
      </c>
      <c r="O291" s="3">
        <v>4</v>
      </c>
    </row>
    <row r="292" spans="1:15" hidden="1">
      <c r="A292" s="3">
        <v>575000</v>
      </c>
      <c r="B292" s="3" t="s">
        <v>334</v>
      </c>
      <c r="C292" s="3" t="s">
        <v>324</v>
      </c>
      <c r="D292" s="3">
        <v>-35.630000000000003</v>
      </c>
      <c r="E292" s="3">
        <v>144.1233</v>
      </c>
      <c r="F292" s="3" t="s">
        <v>17</v>
      </c>
      <c r="G292" s="3" t="s">
        <v>18</v>
      </c>
      <c r="H292" s="3">
        <v>73.430000000000007</v>
      </c>
      <c r="I292" s="3">
        <v>77.94</v>
      </c>
      <c r="J292" s="3">
        <v>77.95</v>
      </c>
      <c r="K292" s="3">
        <v>77.97</v>
      </c>
      <c r="L292" s="3">
        <v>77.989999999999995</v>
      </c>
      <c r="M292" s="3">
        <v>2</v>
      </c>
      <c r="N292" s="3">
        <v>1</v>
      </c>
      <c r="O292" s="3">
        <v>2</v>
      </c>
    </row>
    <row r="293" spans="1:15">
      <c r="A293" s="3">
        <v>575001</v>
      </c>
      <c r="B293" s="3" t="s">
        <v>335</v>
      </c>
      <c r="C293" s="3" t="s">
        <v>324</v>
      </c>
      <c r="D293" s="3">
        <v>-35.091700000000003</v>
      </c>
      <c r="E293" s="3">
        <v>144.0292</v>
      </c>
      <c r="F293" s="3" t="s">
        <v>17</v>
      </c>
      <c r="G293" s="3" t="s">
        <v>18</v>
      </c>
      <c r="H293" s="3">
        <v>69.31</v>
      </c>
      <c r="I293" s="3">
        <v>70.819999999999993</v>
      </c>
      <c r="J293" s="3">
        <v>70.91</v>
      </c>
      <c r="K293" s="3">
        <v>71.05</v>
      </c>
      <c r="L293" s="3">
        <v>71.16</v>
      </c>
      <c r="M293" s="3">
        <v>2</v>
      </c>
      <c r="N293" s="3">
        <v>2</v>
      </c>
      <c r="O293" s="3">
        <v>4</v>
      </c>
    </row>
    <row r="294" spans="1:15" hidden="1">
      <c r="A294" s="3">
        <v>575002</v>
      </c>
      <c r="B294" s="3" t="s">
        <v>336</v>
      </c>
      <c r="C294" s="3" t="s">
        <v>324</v>
      </c>
      <c r="D294" s="3">
        <v>-35.04</v>
      </c>
      <c r="E294" s="3">
        <v>143.56829999999999</v>
      </c>
      <c r="F294" s="3" t="s">
        <v>17</v>
      </c>
      <c r="G294" s="3" t="s">
        <v>18</v>
      </c>
      <c r="H294" s="3">
        <v>64.709999999999994</v>
      </c>
      <c r="L294" s="3">
        <v>64.8</v>
      </c>
      <c r="M294" s="3">
        <v>2</v>
      </c>
      <c r="N294" s="3">
        <v>1</v>
      </c>
      <c r="O294" s="3">
        <f>M294*N294</f>
        <v>2</v>
      </c>
    </row>
    <row r="295" spans="1:15">
      <c r="A295" s="3">
        <v>582003</v>
      </c>
      <c r="B295" s="3" t="s">
        <v>337</v>
      </c>
      <c r="C295" s="3" t="s">
        <v>324</v>
      </c>
      <c r="D295" s="3">
        <v>-36.0017</v>
      </c>
      <c r="E295" s="3">
        <v>146.39500000000001</v>
      </c>
      <c r="F295" s="3" t="s">
        <v>305</v>
      </c>
      <c r="G295" s="3" t="s">
        <v>18</v>
      </c>
      <c r="H295" s="3">
        <v>133.71</v>
      </c>
      <c r="I295" s="3">
        <v>135.47</v>
      </c>
      <c r="J295" s="3">
        <v>135.77000000000001</v>
      </c>
      <c r="K295" s="3">
        <v>136.13999999999999</v>
      </c>
      <c r="L295" s="3">
        <v>136.6</v>
      </c>
      <c r="M295" s="3">
        <v>2</v>
      </c>
      <c r="N295" s="3">
        <v>2</v>
      </c>
      <c r="O295" s="3">
        <v>4</v>
      </c>
    </row>
    <row r="296" spans="1:15" hidden="1">
      <c r="A296" s="3">
        <v>72145</v>
      </c>
      <c r="B296" s="3" t="s">
        <v>338</v>
      </c>
      <c r="C296" s="3" t="s">
        <v>339</v>
      </c>
      <c r="D296" s="3">
        <v>-35.396700000000003</v>
      </c>
      <c r="E296" s="3">
        <v>148.25</v>
      </c>
      <c r="F296" s="3" t="s">
        <v>17</v>
      </c>
      <c r="G296" s="3" t="s">
        <v>18</v>
      </c>
      <c r="H296" s="3">
        <v>291.95</v>
      </c>
      <c r="I296" s="3">
        <v>293.83</v>
      </c>
      <c r="J296" s="3">
        <v>294.27999999999997</v>
      </c>
      <c r="K296" s="3">
        <v>294.76</v>
      </c>
      <c r="L296" s="3">
        <v>295.51</v>
      </c>
      <c r="M296" s="3">
        <v>2</v>
      </c>
      <c r="N296" s="3">
        <v>1</v>
      </c>
      <c r="O296" s="3">
        <v>2</v>
      </c>
    </row>
    <row r="297" spans="1:15" hidden="1">
      <c r="A297" s="3">
        <v>73131</v>
      </c>
      <c r="B297" s="3" t="s">
        <v>340</v>
      </c>
      <c r="C297" s="3" t="s">
        <v>339</v>
      </c>
      <c r="D297" s="3">
        <v>-35.003300000000003</v>
      </c>
      <c r="E297" s="3">
        <v>148.595</v>
      </c>
      <c r="F297" s="3" t="s">
        <v>17</v>
      </c>
      <c r="G297" s="3" t="s">
        <v>18</v>
      </c>
      <c r="H297" s="3">
        <v>368.77</v>
      </c>
      <c r="M297" s="3">
        <v>1</v>
      </c>
      <c r="N297" s="3">
        <v>1</v>
      </c>
      <c r="O297" s="3">
        <f>M297*N297</f>
        <v>1</v>
      </c>
    </row>
    <row r="298" spans="1:15" hidden="1">
      <c r="A298" s="3">
        <v>73132</v>
      </c>
      <c r="B298" s="3" t="s">
        <v>341</v>
      </c>
      <c r="C298" s="3" t="s">
        <v>339</v>
      </c>
      <c r="D298" s="3">
        <v>-35.075000000000003</v>
      </c>
      <c r="E298" s="3">
        <v>148.10669999999999</v>
      </c>
      <c r="F298" s="3" t="s">
        <v>17</v>
      </c>
      <c r="G298" s="3" t="s">
        <v>18</v>
      </c>
      <c r="H298" s="3">
        <v>219.74</v>
      </c>
      <c r="M298" s="3">
        <v>2</v>
      </c>
      <c r="N298" s="3">
        <v>1</v>
      </c>
      <c r="O298" s="3">
        <f>M298*N298</f>
        <v>2</v>
      </c>
    </row>
    <row r="299" spans="1:15" hidden="1">
      <c r="A299" s="3">
        <v>75170</v>
      </c>
      <c r="B299" s="3" t="s">
        <v>342</v>
      </c>
      <c r="C299" s="3" t="s">
        <v>339</v>
      </c>
      <c r="D299" s="3">
        <v>-34.448300000000003</v>
      </c>
      <c r="E299" s="3">
        <v>145.41669999999999</v>
      </c>
      <c r="F299" s="3" t="s">
        <v>17</v>
      </c>
      <c r="G299" s="3" t="s">
        <v>49</v>
      </c>
      <c r="H299" s="3">
        <v>104.42</v>
      </c>
      <c r="I299" s="3">
        <v>105.07</v>
      </c>
      <c r="J299" s="3">
        <v>105.21</v>
      </c>
      <c r="K299" s="3">
        <v>105.31</v>
      </c>
      <c r="L299" s="3">
        <v>105.41</v>
      </c>
      <c r="M299" s="3">
        <v>2</v>
      </c>
      <c r="N299" s="3">
        <v>1</v>
      </c>
      <c r="O299" s="3">
        <v>2</v>
      </c>
    </row>
    <row r="300" spans="1:15">
      <c r="A300" s="3">
        <v>549001</v>
      </c>
      <c r="B300" s="3" t="s">
        <v>343</v>
      </c>
      <c r="C300" s="3" t="s">
        <v>339</v>
      </c>
      <c r="D300" s="3">
        <v>-34.669400000000003</v>
      </c>
      <c r="E300" s="3">
        <v>143.4889</v>
      </c>
      <c r="F300" s="3" t="s">
        <v>17</v>
      </c>
      <c r="G300" s="3" t="s">
        <v>18</v>
      </c>
      <c r="H300" s="3">
        <v>59.55</v>
      </c>
      <c r="I300" s="3">
        <v>60.96</v>
      </c>
      <c r="J300" s="3">
        <v>61.04</v>
      </c>
      <c r="K300" s="3">
        <v>61.16</v>
      </c>
      <c r="L300" s="3">
        <v>61.28</v>
      </c>
      <c r="M300" s="3">
        <v>2</v>
      </c>
      <c r="N300" s="3">
        <v>2</v>
      </c>
      <c r="O300" s="3">
        <v>4</v>
      </c>
    </row>
    <row r="301" spans="1:15" hidden="1">
      <c r="A301" s="3">
        <v>570003</v>
      </c>
      <c r="B301" s="3" t="s">
        <v>344</v>
      </c>
      <c r="C301" s="3" t="s">
        <v>339</v>
      </c>
      <c r="D301" s="3">
        <v>-35.54</v>
      </c>
      <c r="E301" s="3">
        <v>149.1</v>
      </c>
      <c r="F301" s="3" t="s">
        <v>17</v>
      </c>
      <c r="G301" s="3" t="s">
        <v>18</v>
      </c>
      <c r="H301" s="3">
        <v>641.32000000000005</v>
      </c>
      <c r="M301" s="3">
        <v>1</v>
      </c>
      <c r="N301" s="3">
        <v>1</v>
      </c>
      <c r="O301" s="3">
        <f>M301*N301</f>
        <v>1</v>
      </c>
    </row>
    <row r="302" spans="1:15" hidden="1">
      <c r="A302" s="3">
        <v>570009</v>
      </c>
      <c r="B302" s="3" t="s">
        <v>345</v>
      </c>
      <c r="C302" s="3" t="s">
        <v>339</v>
      </c>
      <c r="D302" s="3">
        <v>-34.840299999999999</v>
      </c>
      <c r="E302" s="3">
        <v>148.90559999999999</v>
      </c>
      <c r="F302" s="3" t="s">
        <v>17</v>
      </c>
      <c r="G302" s="3" t="s">
        <v>18</v>
      </c>
      <c r="H302" s="3">
        <v>493.56</v>
      </c>
      <c r="M302" s="3">
        <v>2</v>
      </c>
      <c r="N302" s="3">
        <v>1</v>
      </c>
      <c r="O302" s="3">
        <f>M302*N302</f>
        <v>2</v>
      </c>
    </row>
    <row r="303" spans="1:15" hidden="1">
      <c r="A303" s="3">
        <v>570011</v>
      </c>
      <c r="B303" s="3" t="s">
        <v>346</v>
      </c>
      <c r="C303" s="3" t="s">
        <v>339</v>
      </c>
      <c r="D303" s="3">
        <v>-35.984699999999997</v>
      </c>
      <c r="E303" s="3">
        <v>149.12639999999999</v>
      </c>
      <c r="F303" s="3" t="s">
        <v>17</v>
      </c>
      <c r="G303" s="3" t="s">
        <v>18</v>
      </c>
      <c r="H303" s="3">
        <v>712.29</v>
      </c>
      <c r="M303" s="3">
        <v>1</v>
      </c>
      <c r="N303" s="3">
        <v>1</v>
      </c>
      <c r="O303" s="3">
        <f>M303*N303</f>
        <v>1</v>
      </c>
    </row>
    <row r="304" spans="1:15" hidden="1">
      <c r="A304" s="3">
        <v>570017</v>
      </c>
      <c r="B304" s="3" t="s">
        <v>347</v>
      </c>
      <c r="C304" s="3" t="s">
        <v>339</v>
      </c>
      <c r="D304" s="3">
        <v>-35.291699999999999</v>
      </c>
      <c r="E304" s="3">
        <v>148.95500000000001</v>
      </c>
      <c r="F304" s="3" t="s">
        <v>17</v>
      </c>
      <c r="G304" s="3" t="s">
        <v>18</v>
      </c>
      <c r="H304" s="3">
        <v>480.28</v>
      </c>
      <c r="M304" s="3">
        <v>1</v>
      </c>
      <c r="N304" s="3">
        <v>1</v>
      </c>
      <c r="O304" s="3">
        <f>M304*N304</f>
        <v>1</v>
      </c>
    </row>
    <row r="305" spans="1:15" hidden="1">
      <c r="A305" s="3">
        <v>570031</v>
      </c>
      <c r="B305" s="3" t="s">
        <v>348</v>
      </c>
      <c r="C305" s="3" t="s">
        <v>339</v>
      </c>
      <c r="D305" s="3">
        <v>-36.24</v>
      </c>
      <c r="E305" s="3">
        <v>149.11670000000001</v>
      </c>
      <c r="F305" s="3" t="s">
        <v>17</v>
      </c>
      <c r="G305" s="3" t="s">
        <v>21</v>
      </c>
      <c r="H305" s="3">
        <v>800.54</v>
      </c>
      <c r="K305" s="3">
        <v>800.67</v>
      </c>
      <c r="L305" s="3">
        <v>800.77</v>
      </c>
      <c r="M305" s="3">
        <v>2</v>
      </c>
      <c r="N305" s="3">
        <v>1</v>
      </c>
      <c r="O305" s="3">
        <f>M305*N305</f>
        <v>2</v>
      </c>
    </row>
    <row r="306" spans="1:15" hidden="1">
      <c r="A306" s="3">
        <v>570035</v>
      </c>
      <c r="B306" s="3" t="s">
        <v>349</v>
      </c>
      <c r="C306" s="3" t="s">
        <v>339</v>
      </c>
      <c r="D306" s="3">
        <v>-36.263300000000001</v>
      </c>
      <c r="E306" s="3">
        <v>149.13499999999999</v>
      </c>
      <c r="F306" s="3" t="s">
        <v>17</v>
      </c>
      <c r="G306" s="3" t="s">
        <v>21</v>
      </c>
      <c r="H306" s="3">
        <v>811.28</v>
      </c>
      <c r="M306" s="3">
        <v>2</v>
      </c>
      <c r="N306" s="3">
        <v>1</v>
      </c>
      <c r="O306" s="3">
        <f>M306*N306</f>
        <v>2</v>
      </c>
    </row>
    <row r="307" spans="1:15" hidden="1">
      <c r="A307" s="3">
        <v>572011</v>
      </c>
      <c r="B307" s="3" t="s">
        <v>350</v>
      </c>
      <c r="C307" s="3" t="s">
        <v>339</v>
      </c>
      <c r="D307" s="3">
        <v>-35.330599999999997</v>
      </c>
      <c r="E307" s="3">
        <v>148.34719999999999</v>
      </c>
      <c r="F307" s="3" t="s">
        <v>17</v>
      </c>
      <c r="G307" s="3" t="s">
        <v>21</v>
      </c>
      <c r="H307" s="3">
        <v>299.35000000000002</v>
      </c>
      <c r="I307" s="3">
        <v>300.58</v>
      </c>
      <c r="J307" s="3">
        <v>300.70999999999998</v>
      </c>
      <c r="K307" s="3">
        <v>300.92</v>
      </c>
      <c r="L307" s="3">
        <v>302.39</v>
      </c>
      <c r="M307" s="3">
        <v>1</v>
      </c>
      <c r="N307" s="3">
        <v>1</v>
      </c>
      <c r="O307" s="3">
        <v>1</v>
      </c>
    </row>
    <row r="308" spans="1:15" hidden="1">
      <c r="A308" s="3">
        <v>572012</v>
      </c>
      <c r="B308" s="3" t="s">
        <v>351</v>
      </c>
      <c r="C308" s="3" t="s">
        <v>339</v>
      </c>
      <c r="D308" s="3">
        <v>-35.1633</v>
      </c>
      <c r="E308" s="3">
        <v>147.655</v>
      </c>
      <c r="F308" s="3" t="s">
        <v>17</v>
      </c>
      <c r="G308" s="3" t="s">
        <v>18</v>
      </c>
      <c r="H308" s="3">
        <v>193.75</v>
      </c>
      <c r="I308" s="3">
        <v>195.21</v>
      </c>
      <c r="J308" s="3">
        <v>195.43</v>
      </c>
      <c r="K308" s="3">
        <v>195.72</v>
      </c>
      <c r="L308" s="3">
        <v>196.07</v>
      </c>
      <c r="M308" s="3">
        <v>2</v>
      </c>
      <c r="N308" s="3">
        <v>1</v>
      </c>
      <c r="O308" s="3">
        <v>2</v>
      </c>
    </row>
    <row r="309" spans="1:15">
      <c r="A309" s="3">
        <v>572014</v>
      </c>
      <c r="B309" s="3" t="s">
        <v>352</v>
      </c>
      <c r="C309" s="3" t="s">
        <v>339</v>
      </c>
      <c r="D309" s="3">
        <v>-35.304200000000002</v>
      </c>
      <c r="E309" s="3">
        <v>148.23330000000001</v>
      </c>
      <c r="F309" s="3" t="s">
        <v>17</v>
      </c>
      <c r="G309" s="3" t="s">
        <v>18</v>
      </c>
      <c r="H309" s="3">
        <v>263.85000000000002</v>
      </c>
      <c r="I309" s="3">
        <v>264.82</v>
      </c>
      <c r="J309" s="3">
        <v>264.98</v>
      </c>
      <c r="K309" s="3">
        <v>265.20999999999998</v>
      </c>
      <c r="L309" s="3">
        <v>265.51</v>
      </c>
      <c r="M309" s="3">
        <v>2</v>
      </c>
      <c r="N309" s="3">
        <v>2</v>
      </c>
      <c r="O309" s="3">
        <v>4</v>
      </c>
    </row>
    <row r="310" spans="1:15" hidden="1">
      <c r="A310" s="3">
        <v>573000</v>
      </c>
      <c r="B310" s="3" t="s">
        <v>353</v>
      </c>
      <c r="C310" s="3" t="s">
        <v>339</v>
      </c>
      <c r="D310" s="3">
        <v>-35.103299999999997</v>
      </c>
      <c r="E310" s="3">
        <v>147.36670000000001</v>
      </c>
      <c r="F310" s="3" t="s">
        <v>17</v>
      </c>
      <c r="G310" s="3" t="s">
        <v>18</v>
      </c>
      <c r="H310" s="3">
        <v>179.46</v>
      </c>
      <c r="M310" s="3">
        <v>2</v>
      </c>
      <c r="N310" s="3">
        <v>1</v>
      </c>
      <c r="O310" s="3">
        <f>M310*N310</f>
        <v>2</v>
      </c>
    </row>
    <row r="311" spans="1:15">
      <c r="A311" s="3">
        <v>573001</v>
      </c>
      <c r="B311" s="3" t="s">
        <v>354</v>
      </c>
      <c r="C311" s="3" t="s">
        <v>339</v>
      </c>
      <c r="D311" s="3">
        <v>-35.0792</v>
      </c>
      <c r="E311" s="3">
        <v>147.68610000000001</v>
      </c>
      <c r="F311" s="3" t="s">
        <v>17</v>
      </c>
      <c r="G311" s="3" t="s">
        <v>18</v>
      </c>
      <c r="H311" s="3">
        <v>193.98</v>
      </c>
      <c r="I311" s="3">
        <v>194.79</v>
      </c>
      <c r="J311" s="3">
        <v>195.05</v>
      </c>
      <c r="K311" s="3">
        <v>195.42</v>
      </c>
      <c r="L311" s="3">
        <v>195.91</v>
      </c>
      <c r="M311" s="3">
        <v>2</v>
      </c>
      <c r="N311" s="3">
        <v>2</v>
      </c>
      <c r="O311" s="3">
        <v>4</v>
      </c>
    </row>
    <row r="312" spans="1:15" hidden="1">
      <c r="A312" s="3">
        <v>573003</v>
      </c>
      <c r="B312" s="3" t="s">
        <v>355</v>
      </c>
      <c r="C312" s="3" t="s">
        <v>339</v>
      </c>
      <c r="D312" s="3">
        <v>-35.019399999999997</v>
      </c>
      <c r="E312" s="3">
        <v>148.2458</v>
      </c>
      <c r="F312" s="3" t="s">
        <v>17</v>
      </c>
      <c r="G312" s="3" t="s">
        <v>18</v>
      </c>
      <c r="H312" s="3">
        <v>254.01</v>
      </c>
      <c r="M312" s="3">
        <v>1</v>
      </c>
      <c r="N312" s="3">
        <v>1</v>
      </c>
      <c r="O312" s="3">
        <f>M312*N312</f>
        <v>1</v>
      </c>
    </row>
    <row r="313" spans="1:15" hidden="1">
      <c r="A313" s="3">
        <v>573004</v>
      </c>
      <c r="B313" s="3" t="s">
        <v>356</v>
      </c>
      <c r="C313" s="3" t="s">
        <v>339</v>
      </c>
      <c r="D313" s="3">
        <v>-34.931899999999999</v>
      </c>
      <c r="E313" s="3">
        <v>148.1611</v>
      </c>
      <c r="F313" s="3" t="s">
        <v>17</v>
      </c>
      <c r="G313" s="3" t="s">
        <v>18</v>
      </c>
      <c r="H313" s="3">
        <v>245.1</v>
      </c>
      <c r="M313" s="3">
        <v>1</v>
      </c>
      <c r="N313" s="3">
        <v>1</v>
      </c>
      <c r="O313" s="3">
        <f>M313*N313</f>
        <v>1</v>
      </c>
    </row>
    <row r="314" spans="1:15" hidden="1">
      <c r="A314" s="3">
        <v>573006</v>
      </c>
      <c r="B314" s="3" t="s">
        <v>357</v>
      </c>
      <c r="C314" s="3" t="s">
        <v>339</v>
      </c>
      <c r="D314" s="3">
        <v>-35.166699999999999</v>
      </c>
      <c r="E314" s="3">
        <v>148.68610000000001</v>
      </c>
      <c r="F314" s="3" t="s">
        <v>17</v>
      </c>
      <c r="G314" s="3" t="s">
        <v>18</v>
      </c>
      <c r="H314" s="3">
        <v>395.02</v>
      </c>
      <c r="L314" s="3">
        <v>399.63</v>
      </c>
      <c r="M314" s="3">
        <v>1</v>
      </c>
      <c r="N314" s="3">
        <v>1</v>
      </c>
      <c r="O314" s="3">
        <f>M314*N314</f>
        <v>1</v>
      </c>
    </row>
    <row r="315" spans="1:15" hidden="1">
      <c r="A315" s="3">
        <v>573007</v>
      </c>
      <c r="B315" s="3" t="s">
        <v>358</v>
      </c>
      <c r="C315" s="3" t="s">
        <v>339</v>
      </c>
      <c r="D315" s="3">
        <v>-34.791699999999999</v>
      </c>
      <c r="E315" s="3">
        <v>148.3706</v>
      </c>
      <c r="F315" s="3" t="s">
        <v>17</v>
      </c>
      <c r="G315" s="3" t="s">
        <v>21</v>
      </c>
      <c r="H315" s="3">
        <v>312.49</v>
      </c>
      <c r="M315" s="3">
        <v>2</v>
      </c>
      <c r="N315" s="3">
        <v>1</v>
      </c>
      <c r="O315" s="3">
        <f>M315*N315</f>
        <v>2</v>
      </c>
    </row>
    <row r="316" spans="1:15" hidden="1">
      <c r="A316" s="3">
        <v>573009</v>
      </c>
      <c r="B316" s="3" t="s">
        <v>359</v>
      </c>
      <c r="C316" s="3" t="s">
        <v>339</v>
      </c>
      <c r="D316" s="3">
        <v>-34.5745</v>
      </c>
      <c r="E316" s="3">
        <v>148.08920000000001</v>
      </c>
      <c r="F316" s="3" t="s">
        <v>17</v>
      </c>
      <c r="G316" s="3" t="s">
        <v>21</v>
      </c>
      <c r="H316" s="3">
        <v>416.98</v>
      </c>
      <c r="I316" s="3">
        <v>417.27</v>
      </c>
      <c r="J316" s="3">
        <v>417.36</v>
      </c>
      <c r="K316" s="3">
        <v>417.49</v>
      </c>
      <c r="L316" s="3">
        <v>417.86</v>
      </c>
      <c r="M316" s="3">
        <v>1</v>
      </c>
      <c r="N316" s="3">
        <v>1</v>
      </c>
      <c r="O316" s="3">
        <v>1</v>
      </c>
    </row>
    <row r="317" spans="1:15" hidden="1">
      <c r="A317" s="3">
        <v>573010</v>
      </c>
      <c r="B317" s="3" t="s">
        <v>360</v>
      </c>
      <c r="C317" s="3" t="s">
        <v>339</v>
      </c>
      <c r="D317" s="3">
        <v>-34.911099999999998</v>
      </c>
      <c r="E317" s="3">
        <v>148.55000000000001</v>
      </c>
      <c r="F317" s="3" t="s">
        <v>17</v>
      </c>
      <c r="G317" s="3" t="s">
        <v>18</v>
      </c>
      <c r="H317" s="3">
        <v>265.5</v>
      </c>
      <c r="I317" s="3">
        <v>272.83</v>
      </c>
      <c r="J317" s="3">
        <v>273.64</v>
      </c>
      <c r="K317" s="3">
        <v>274.67</v>
      </c>
      <c r="L317" s="3">
        <v>275.95999999999998</v>
      </c>
      <c r="M317" s="3">
        <v>1</v>
      </c>
      <c r="N317" s="3">
        <v>1</v>
      </c>
      <c r="O317" s="3">
        <v>1</v>
      </c>
    </row>
    <row r="318" spans="1:15" hidden="1">
      <c r="A318" s="3">
        <v>573017</v>
      </c>
      <c r="B318" s="3" t="s">
        <v>361</v>
      </c>
      <c r="C318" s="3" t="s">
        <v>339</v>
      </c>
      <c r="D318" s="3">
        <v>-34.595700000000001</v>
      </c>
      <c r="E318" s="3">
        <v>148.01779999999999</v>
      </c>
      <c r="F318" s="3" t="s">
        <v>17</v>
      </c>
      <c r="G318" s="3" t="s">
        <v>21</v>
      </c>
      <c r="H318" s="3">
        <v>343.67</v>
      </c>
      <c r="M318" s="3">
        <v>1</v>
      </c>
      <c r="N318" s="3">
        <v>1</v>
      </c>
      <c r="O318" s="3">
        <f>M318*N318</f>
        <v>1</v>
      </c>
    </row>
    <row r="319" spans="1:15" hidden="1">
      <c r="A319" s="3">
        <v>574020</v>
      </c>
      <c r="B319" s="3" t="s">
        <v>362</v>
      </c>
      <c r="C319" s="3" t="s">
        <v>339</v>
      </c>
      <c r="D319" s="3">
        <v>-34.756700000000002</v>
      </c>
      <c r="E319" s="3">
        <v>146.54669999999999</v>
      </c>
      <c r="F319" s="3" t="s">
        <v>17</v>
      </c>
      <c r="G319" s="3" t="s">
        <v>49</v>
      </c>
      <c r="H319" s="3">
        <v>142.15</v>
      </c>
      <c r="I319" s="3">
        <v>143.56</v>
      </c>
      <c r="J319" s="3">
        <v>143.77000000000001</v>
      </c>
      <c r="K319" s="3">
        <v>144.02000000000001</v>
      </c>
      <c r="L319" s="3">
        <v>144.33000000000001</v>
      </c>
      <c r="M319" s="3">
        <v>2</v>
      </c>
      <c r="N319" s="3">
        <v>1</v>
      </c>
      <c r="O319" s="3">
        <v>2</v>
      </c>
    </row>
    <row r="320" spans="1:15" hidden="1">
      <c r="A320" s="3">
        <v>575004</v>
      </c>
      <c r="B320" s="3" t="s">
        <v>363</v>
      </c>
      <c r="C320" s="3" t="s">
        <v>339</v>
      </c>
      <c r="D320" s="3">
        <v>-34.522199999999998</v>
      </c>
      <c r="E320" s="3">
        <v>144.71029999999999</v>
      </c>
      <c r="F320" s="3" t="s">
        <v>17</v>
      </c>
      <c r="G320" s="3" t="s">
        <v>49</v>
      </c>
      <c r="H320" s="3">
        <v>85.48</v>
      </c>
      <c r="I320" s="3">
        <v>87.25</v>
      </c>
      <c r="J320" s="3">
        <v>87.33</v>
      </c>
      <c r="K320" s="3">
        <v>87.41</v>
      </c>
      <c r="L320" s="3">
        <v>87.48</v>
      </c>
      <c r="M320" s="3">
        <v>2</v>
      </c>
      <c r="N320" s="3">
        <v>1</v>
      </c>
      <c r="O320" s="3">
        <v>2</v>
      </c>
    </row>
    <row r="321" spans="1:15" hidden="1">
      <c r="A321" s="3">
        <v>575011</v>
      </c>
      <c r="B321" s="3" t="s">
        <v>364</v>
      </c>
      <c r="C321" s="3" t="s">
        <v>339</v>
      </c>
      <c r="D321" s="3">
        <v>-34.568300000000001</v>
      </c>
      <c r="E321" s="3">
        <v>146.0017</v>
      </c>
      <c r="F321" s="3" t="s">
        <v>17</v>
      </c>
      <c r="G321" s="3" t="s">
        <v>49</v>
      </c>
      <c r="H321" s="3">
        <v>125.07</v>
      </c>
      <c r="I321" s="3">
        <v>125.33</v>
      </c>
      <c r="J321" s="3">
        <v>125.44</v>
      </c>
      <c r="K321" s="3">
        <v>125.54</v>
      </c>
      <c r="L321" s="3">
        <v>125.63</v>
      </c>
      <c r="M321" s="3">
        <v>2</v>
      </c>
      <c r="N321" s="3">
        <v>1</v>
      </c>
      <c r="O321" s="3">
        <v>2</v>
      </c>
    </row>
    <row r="322" spans="1:15" hidden="1">
      <c r="A322" s="3">
        <v>575019</v>
      </c>
      <c r="B322" s="3" t="s">
        <v>365</v>
      </c>
      <c r="C322" s="3" t="s">
        <v>339</v>
      </c>
      <c r="D322" s="3">
        <v>-34.334699999999998</v>
      </c>
      <c r="E322" s="3">
        <v>146.2518</v>
      </c>
      <c r="F322" s="3" t="s">
        <v>17</v>
      </c>
      <c r="G322" s="3" t="s">
        <v>49</v>
      </c>
      <c r="H322" s="3">
        <v>145.22999999999999</v>
      </c>
      <c r="M322" s="3">
        <v>1</v>
      </c>
      <c r="N322" s="3">
        <v>1</v>
      </c>
      <c r="O322" s="3">
        <f>M322*N322</f>
        <v>1</v>
      </c>
    </row>
    <row r="323" spans="1:15">
      <c r="A323" s="3">
        <v>53098</v>
      </c>
      <c r="B323" s="3" t="s">
        <v>366</v>
      </c>
      <c r="C323" s="3" t="s">
        <v>367</v>
      </c>
      <c r="D323" s="3">
        <v>-30.4483</v>
      </c>
      <c r="E323" s="3">
        <v>149.66829999999999</v>
      </c>
      <c r="F323" s="3" t="s">
        <v>17</v>
      </c>
      <c r="G323" s="3" t="s">
        <v>18</v>
      </c>
      <c r="H323" s="3">
        <v>237</v>
      </c>
      <c r="I323" s="3">
        <v>238.16</v>
      </c>
      <c r="J323" s="3">
        <v>238.24</v>
      </c>
      <c r="K323" s="3">
        <v>238.34</v>
      </c>
      <c r="L323" s="3">
        <v>238.45</v>
      </c>
      <c r="M323" s="3">
        <v>2</v>
      </c>
      <c r="N323" s="3">
        <v>2</v>
      </c>
      <c r="O323" s="3">
        <v>4</v>
      </c>
    </row>
    <row r="324" spans="1:15" hidden="1">
      <c r="A324" s="3">
        <v>53105</v>
      </c>
      <c r="B324" s="3" t="s">
        <v>368</v>
      </c>
      <c r="C324" s="3" t="s">
        <v>367</v>
      </c>
      <c r="D324" s="3">
        <v>-30.203299999999999</v>
      </c>
      <c r="E324" s="3">
        <v>149.4933</v>
      </c>
      <c r="F324" s="3" t="s">
        <v>17</v>
      </c>
      <c r="G324" s="3" t="s">
        <v>18</v>
      </c>
      <c r="H324" s="3">
        <v>196.87</v>
      </c>
      <c r="M324" s="3">
        <v>2</v>
      </c>
      <c r="N324" s="3">
        <v>1</v>
      </c>
      <c r="O324" s="3">
        <f>M324*N324</f>
        <v>2</v>
      </c>
    </row>
    <row r="325" spans="1:15" hidden="1">
      <c r="A325" s="3">
        <v>54152</v>
      </c>
      <c r="B325" s="3" t="s">
        <v>369</v>
      </c>
      <c r="C325" s="3" t="s">
        <v>367</v>
      </c>
      <c r="D325" s="3">
        <v>-30.326699999999999</v>
      </c>
      <c r="E325" s="3">
        <v>149.78</v>
      </c>
      <c r="F325" s="3" t="s">
        <v>17</v>
      </c>
      <c r="G325" s="3" t="s">
        <v>18</v>
      </c>
      <c r="H325" s="3">
        <v>206.99</v>
      </c>
      <c r="I325" s="3">
        <v>210.02</v>
      </c>
      <c r="J325" s="3">
        <v>210.32</v>
      </c>
      <c r="K325" s="3">
        <v>210.68</v>
      </c>
      <c r="L325" s="3">
        <v>211</v>
      </c>
      <c r="M325" s="3">
        <v>2</v>
      </c>
      <c r="N325" s="3">
        <v>1</v>
      </c>
      <c r="O325" s="3">
        <v>2</v>
      </c>
    </row>
    <row r="326" spans="1:15" hidden="1">
      <c r="A326" s="3">
        <v>55277</v>
      </c>
      <c r="B326" s="3" t="s">
        <v>370</v>
      </c>
      <c r="C326" s="3" t="s">
        <v>367</v>
      </c>
      <c r="D326" s="3">
        <v>-30.753299999999999</v>
      </c>
      <c r="E326" s="3">
        <v>150.7167</v>
      </c>
      <c r="F326" s="3" t="s">
        <v>17</v>
      </c>
      <c r="G326" s="3" t="s">
        <v>49</v>
      </c>
      <c r="H326" s="3">
        <v>340.5</v>
      </c>
      <c r="I326" s="3">
        <v>343.03</v>
      </c>
      <c r="J326" s="3">
        <v>343.09</v>
      </c>
      <c r="K326" s="3">
        <v>343.86</v>
      </c>
      <c r="L326" s="3">
        <v>347.19</v>
      </c>
      <c r="M326" s="3">
        <v>1</v>
      </c>
      <c r="N326" s="3">
        <v>1</v>
      </c>
      <c r="O326" s="3">
        <v>1</v>
      </c>
    </row>
    <row r="327" spans="1:15" hidden="1">
      <c r="A327" s="3">
        <v>55284</v>
      </c>
      <c r="B327" s="3" t="s">
        <v>371</v>
      </c>
      <c r="C327" s="3" t="s">
        <v>367</v>
      </c>
      <c r="D327" s="3">
        <v>-30.9392</v>
      </c>
      <c r="E327" s="3">
        <v>150.5301</v>
      </c>
      <c r="F327" s="3" t="s">
        <v>17</v>
      </c>
      <c r="G327" s="3" t="s">
        <v>18</v>
      </c>
      <c r="H327" s="3">
        <v>291.56</v>
      </c>
      <c r="I327" s="3">
        <v>294.88</v>
      </c>
      <c r="J327" s="3">
        <v>295.82</v>
      </c>
      <c r="K327" s="3">
        <v>298.41000000000003</v>
      </c>
      <c r="L327" s="3">
        <v>302.69</v>
      </c>
      <c r="M327" s="3">
        <v>1</v>
      </c>
      <c r="N327" s="3">
        <v>1</v>
      </c>
      <c r="O327" s="3">
        <v>1</v>
      </c>
    </row>
    <row r="328" spans="1:15" hidden="1">
      <c r="A328" s="3">
        <v>55305</v>
      </c>
      <c r="B328" s="3" t="s">
        <v>372</v>
      </c>
      <c r="C328" s="3" t="s">
        <v>367</v>
      </c>
      <c r="D328" s="3">
        <v>-30.8919</v>
      </c>
      <c r="E328" s="3">
        <v>150.49</v>
      </c>
      <c r="F328" s="3" t="s">
        <v>17</v>
      </c>
      <c r="G328" s="3" t="s">
        <v>18</v>
      </c>
      <c r="H328" s="3">
        <v>311.48</v>
      </c>
      <c r="M328" s="3">
        <v>1</v>
      </c>
      <c r="N328" s="3">
        <v>1</v>
      </c>
      <c r="O328" s="3">
        <f>M328*N328</f>
        <v>1</v>
      </c>
    </row>
    <row r="329" spans="1:15" hidden="1">
      <c r="A329" s="3">
        <v>55307</v>
      </c>
      <c r="B329" s="3" t="s">
        <v>373</v>
      </c>
      <c r="C329" s="3" t="s">
        <v>367</v>
      </c>
      <c r="D329" s="3">
        <v>-31.0928</v>
      </c>
      <c r="E329" s="3">
        <v>150.92670000000001</v>
      </c>
      <c r="F329" s="3" t="s">
        <v>17</v>
      </c>
      <c r="G329" s="3" t="s">
        <v>18</v>
      </c>
      <c r="H329" s="3">
        <v>377.11</v>
      </c>
      <c r="I329" s="3">
        <v>385.38</v>
      </c>
      <c r="J329" s="3">
        <v>385.67</v>
      </c>
      <c r="K329" s="3">
        <v>386.35</v>
      </c>
      <c r="L329" s="3">
        <v>387.94</v>
      </c>
      <c r="M329" s="3">
        <v>1</v>
      </c>
      <c r="N329" s="3">
        <v>1</v>
      </c>
      <c r="O329" s="3">
        <v>1</v>
      </c>
    </row>
    <row r="330" spans="1:15">
      <c r="A330" s="3">
        <v>55310</v>
      </c>
      <c r="B330" s="3" t="s">
        <v>374</v>
      </c>
      <c r="C330" s="3" t="s">
        <v>367</v>
      </c>
      <c r="D330" s="3">
        <v>-31.274999999999999</v>
      </c>
      <c r="E330" s="3">
        <v>150.46029999999999</v>
      </c>
      <c r="F330" s="3" t="s">
        <v>17</v>
      </c>
      <c r="G330" s="3" t="s">
        <v>18</v>
      </c>
      <c r="H330" s="3">
        <v>288.38</v>
      </c>
      <c r="I330" s="3">
        <v>290.10000000000002</v>
      </c>
      <c r="J330" s="3">
        <v>290.19</v>
      </c>
      <c r="K330" s="3">
        <v>290.36</v>
      </c>
      <c r="L330" s="3">
        <v>291</v>
      </c>
      <c r="M330" s="3">
        <v>2</v>
      </c>
      <c r="N330" s="3">
        <v>2</v>
      </c>
      <c r="O330" s="3">
        <v>4</v>
      </c>
    </row>
    <row r="331" spans="1:15" hidden="1">
      <c r="A331" s="3">
        <v>55313</v>
      </c>
      <c r="B331" s="3" t="s">
        <v>375</v>
      </c>
      <c r="C331" s="3" t="s">
        <v>367</v>
      </c>
      <c r="D331" s="3">
        <v>-31.271699999999999</v>
      </c>
      <c r="E331" s="3">
        <v>150.91669999999999</v>
      </c>
      <c r="F331" s="3" t="s">
        <v>17</v>
      </c>
      <c r="G331" s="3" t="s">
        <v>21</v>
      </c>
      <c r="H331" s="3">
        <v>429.33</v>
      </c>
      <c r="I331" s="3">
        <v>431.34</v>
      </c>
      <c r="J331" s="3">
        <v>431.69</v>
      </c>
      <c r="K331" s="3">
        <v>432.42</v>
      </c>
      <c r="L331" s="3">
        <v>433.94</v>
      </c>
      <c r="M331" s="3">
        <v>1</v>
      </c>
      <c r="N331" s="3">
        <v>1</v>
      </c>
      <c r="O331" s="3">
        <v>1</v>
      </c>
    </row>
    <row r="332" spans="1:15" hidden="1">
      <c r="A332" s="3">
        <v>55315</v>
      </c>
      <c r="B332" s="3" t="s">
        <v>376</v>
      </c>
      <c r="C332" s="3" t="s">
        <v>367</v>
      </c>
      <c r="D332" s="3">
        <v>-31.183299999999999</v>
      </c>
      <c r="E332" s="3">
        <v>151.065</v>
      </c>
      <c r="F332" s="3" t="s">
        <v>17</v>
      </c>
      <c r="G332" s="3" t="s">
        <v>18</v>
      </c>
      <c r="H332" s="3">
        <v>427.04</v>
      </c>
      <c r="M332" s="3">
        <v>1</v>
      </c>
      <c r="N332" s="3">
        <v>1</v>
      </c>
      <c r="O332" s="3">
        <f>M332*N332</f>
        <v>1</v>
      </c>
    </row>
    <row r="333" spans="1:15" hidden="1">
      <c r="A333" s="3">
        <v>55321</v>
      </c>
      <c r="B333" s="3" t="s">
        <v>377</v>
      </c>
      <c r="C333" s="3" t="s">
        <v>367</v>
      </c>
      <c r="D333" s="3">
        <v>-31.0625</v>
      </c>
      <c r="E333" s="3">
        <v>151.125</v>
      </c>
      <c r="F333" s="3" t="s">
        <v>17</v>
      </c>
      <c r="G333" s="3" t="s">
        <v>21</v>
      </c>
      <c r="H333" s="3">
        <v>444.37</v>
      </c>
      <c r="I333" s="3">
        <v>447.49</v>
      </c>
      <c r="J333" s="3">
        <v>447.83</v>
      </c>
      <c r="K333" s="3">
        <v>448.99</v>
      </c>
      <c r="L333" s="3">
        <v>451.32</v>
      </c>
      <c r="M333" s="3">
        <v>1</v>
      </c>
      <c r="N333" s="3">
        <v>1</v>
      </c>
      <c r="O333" s="3">
        <v>1</v>
      </c>
    </row>
    <row r="334" spans="1:15" hidden="1">
      <c r="A334" s="3">
        <v>552000</v>
      </c>
      <c r="B334" s="3" t="s">
        <v>378</v>
      </c>
      <c r="C334" s="3" t="s">
        <v>367</v>
      </c>
      <c r="D334" s="3">
        <v>-30.274999999999999</v>
      </c>
      <c r="E334" s="3">
        <v>148.82</v>
      </c>
      <c r="F334" s="3" t="s">
        <v>17</v>
      </c>
      <c r="G334" s="3" t="s">
        <v>18</v>
      </c>
      <c r="H334" s="3">
        <v>155.93</v>
      </c>
      <c r="M334" s="3">
        <v>1</v>
      </c>
      <c r="N334" s="3">
        <v>1</v>
      </c>
      <c r="O334" s="3">
        <f>M334*N334</f>
        <v>1</v>
      </c>
    </row>
    <row r="335" spans="1:15" hidden="1">
      <c r="A335" s="3">
        <v>552005</v>
      </c>
      <c r="B335" s="3" t="s">
        <v>379</v>
      </c>
      <c r="C335" s="3" t="s">
        <v>367</v>
      </c>
      <c r="D335" s="3">
        <v>-29.9236</v>
      </c>
      <c r="E335" s="3">
        <v>148.3861</v>
      </c>
      <c r="F335" s="3" t="s">
        <v>17</v>
      </c>
      <c r="G335" s="3" t="s">
        <v>18</v>
      </c>
      <c r="H335" s="3">
        <v>138.31</v>
      </c>
      <c r="M335" s="3">
        <v>1</v>
      </c>
      <c r="N335" s="3">
        <v>1</v>
      </c>
      <c r="O335" s="3">
        <f>M335*N335</f>
        <v>1</v>
      </c>
    </row>
    <row r="336" spans="1:15" hidden="1">
      <c r="A336" s="3">
        <v>552009</v>
      </c>
      <c r="B336" s="3" t="s">
        <v>380</v>
      </c>
      <c r="C336" s="3" t="s">
        <v>367</v>
      </c>
      <c r="D336" s="3">
        <v>-30.091699999999999</v>
      </c>
      <c r="E336" s="3">
        <v>149.0667</v>
      </c>
      <c r="F336" s="3" t="s">
        <v>17</v>
      </c>
      <c r="G336" s="3" t="s">
        <v>18</v>
      </c>
      <c r="H336" s="3">
        <v>165.92</v>
      </c>
      <c r="J336" s="3">
        <v>165.94</v>
      </c>
      <c r="K336" s="3">
        <v>166.83</v>
      </c>
      <c r="L336" s="3">
        <v>167</v>
      </c>
      <c r="M336" s="3">
        <v>1</v>
      </c>
      <c r="N336" s="3">
        <v>1</v>
      </c>
      <c r="O336" s="3">
        <f>M336*N336</f>
        <v>1</v>
      </c>
    </row>
    <row r="337" spans="1:15" hidden="1">
      <c r="A337" s="3">
        <v>552011</v>
      </c>
      <c r="B337" s="3" t="s">
        <v>381</v>
      </c>
      <c r="C337" s="3" t="s">
        <v>367</v>
      </c>
      <c r="D337" s="3">
        <v>-30.144400000000001</v>
      </c>
      <c r="E337" s="3">
        <v>148.3861</v>
      </c>
      <c r="F337" s="3" t="s">
        <v>17</v>
      </c>
      <c r="G337" s="3" t="s">
        <v>18</v>
      </c>
      <c r="H337" s="3">
        <v>136.61000000000001</v>
      </c>
      <c r="M337" s="3">
        <v>1</v>
      </c>
      <c r="N337" s="3">
        <v>1</v>
      </c>
      <c r="O337" s="3">
        <f>M337*N337</f>
        <v>1</v>
      </c>
    </row>
    <row r="338" spans="1:15" hidden="1">
      <c r="A338" s="3">
        <v>552020</v>
      </c>
      <c r="B338" s="3" t="s">
        <v>382</v>
      </c>
      <c r="C338" s="3" t="s">
        <v>367</v>
      </c>
      <c r="D338" s="3">
        <v>-30.2867</v>
      </c>
      <c r="E338" s="3">
        <v>149.33670000000001</v>
      </c>
      <c r="F338" s="3" t="s">
        <v>17</v>
      </c>
      <c r="G338" s="3" t="s">
        <v>18</v>
      </c>
      <c r="H338" s="3">
        <v>185.16</v>
      </c>
      <c r="I338" s="3">
        <v>185.39</v>
      </c>
      <c r="J338" s="3">
        <v>185.4</v>
      </c>
      <c r="K338" s="3">
        <v>185.6</v>
      </c>
      <c r="L338" s="3">
        <v>185.84</v>
      </c>
      <c r="M338" s="3">
        <v>1</v>
      </c>
      <c r="N338" s="3">
        <v>1</v>
      </c>
      <c r="O338" s="3">
        <v>1</v>
      </c>
    </row>
    <row r="339" spans="1:15" hidden="1">
      <c r="A339" s="3">
        <v>552022</v>
      </c>
      <c r="B339" s="3" t="s">
        <v>383</v>
      </c>
      <c r="C339" s="3" t="s">
        <v>367</v>
      </c>
      <c r="D339" s="3">
        <v>-30.026700000000002</v>
      </c>
      <c r="E339" s="3">
        <v>148.15440000000001</v>
      </c>
      <c r="F339" s="3" t="s">
        <v>17</v>
      </c>
      <c r="G339" s="3" t="s">
        <v>18</v>
      </c>
      <c r="H339" s="3">
        <v>129.41</v>
      </c>
      <c r="I339" s="3">
        <v>133.34</v>
      </c>
      <c r="J339" s="3">
        <v>133.5</v>
      </c>
      <c r="K339" s="3">
        <v>133.71</v>
      </c>
      <c r="L339" s="3">
        <v>133.96</v>
      </c>
      <c r="M339" s="3">
        <v>2</v>
      </c>
      <c r="N339" s="3">
        <v>1</v>
      </c>
      <c r="O339" s="3">
        <v>2</v>
      </c>
    </row>
    <row r="340" spans="1:15" hidden="1">
      <c r="A340" s="3">
        <v>553006</v>
      </c>
      <c r="B340" s="3" t="s">
        <v>384</v>
      </c>
      <c r="C340" s="3" t="s">
        <v>367</v>
      </c>
      <c r="D340" s="3">
        <v>-30.265000000000001</v>
      </c>
      <c r="E340" s="3">
        <v>149.69999999999999</v>
      </c>
      <c r="F340" s="3" t="s">
        <v>17</v>
      </c>
      <c r="G340" s="3" t="s">
        <v>18</v>
      </c>
      <c r="H340" s="3">
        <v>201.4</v>
      </c>
      <c r="I340" s="3">
        <v>206.62</v>
      </c>
      <c r="J340" s="3">
        <v>206.76</v>
      </c>
      <c r="K340" s="3">
        <v>206.99</v>
      </c>
      <c r="L340" s="3">
        <v>207.33</v>
      </c>
      <c r="M340" s="3">
        <v>2</v>
      </c>
      <c r="N340" s="3">
        <v>1</v>
      </c>
      <c r="O340" s="3">
        <v>2</v>
      </c>
    </row>
    <row r="341" spans="1:15">
      <c r="A341" s="3">
        <v>553007</v>
      </c>
      <c r="B341" s="3" t="s">
        <v>385</v>
      </c>
      <c r="C341" s="3" t="s">
        <v>367</v>
      </c>
      <c r="D341" s="3">
        <v>-30.2042</v>
      </c>
      <c r="E341" s="3">
        <v>149.43530000000001</v>
      </c>
      <c r="F341" s="3" t="s">
        <v>17</v>
      </c>
      <c r="G341" s="3" t="s">
        <v>18</v>
      </c>
      <c r="H341" s="3">
        <v>191</v>
      </c>
      <c r="I341" s="3">
        <v>191.36</v>
      </c>
      <c r="J341" s="3">
        <v>191.41</v>
      </c>
      <c r="K341" s="3">
        <v>191.61</v>
      </c>
      <c r="L341" s="3">
        <v>191.78</v>
      </c>
      <c r="M341" s="3">
        <v>2</v>
      </c>
      <c r="N341" s="3">
        <v>3</v>
      </c>
      <c r="O341" s="3">
        <v>6</v>
      </c>
    </row>
    <row r="342" spans="1:15" hidden="1">
      <c r="A342" s="3">
        <v>553009</v>
      </c>
      <c r="B342" s="3" t="s">
        <v>386</v>
      </c>
      <c r="C342" s="3" t="s">
        <v>367</v>
      </c>
      <c r="D342" s="3">
        <v>-30.197199999999999</v>
      </c>
      <c r="E342" s="3">
        <v>149.42779999999999</v>
      </c>
      <c r="F342" s="3" t="s">
        <v>17</v>
      </c>
      <c r="G342" s="3" t="s">
        <v>18</v>
      </c>
      <c r="H342" s="3">
        <v>190.98</v>
      </c>
      <c r="I342" s="3">
        <v>192.27</v>
      </c>
      <c r="J342" s="3">
        <v>192.3</v>
      </c>
      <c r="K342" s="3">
        <v>192.34</v>
      </c>
      <c r="L342" s="3">
        <v>192.39</v>
      </c>
      <c r="M342" s="3">
        <v>2</v>
      </c>
      <c r="N342" s="3">
        <v>1</v>
      </c>
      <c r="O342" s="3">
        <v>2</v>
      </c>
    </row>
    <row r="343" spans="1:15" hidden="1">
      <c r="A343" s="3">
        <v>553012</v>
      </c>
      <c r="B343" s="3" t="s">
        <v>387</v>
      </c>
      <c r="C343" s="3" t="s">
        <v>367</v>
      </c>
      <c r="D343" s="3">
        <v>-30.2867</v>
      </c>
      <c r="E343" s="3">
        <v>149.33670000000001</v>
      </c>
      <c r="F343" s="3" t="s">
        <v>17</v>
      </c>
      <c r="G343" s="3" t="s">
        <v>18</v>
      </c>
      <c r="H343" s="3">
        <v>185.16</v>
      </c>
      <c r="I343" s="3">
        <v>185.39</v>
      </c>
      <c r="J343" s="3">
        <v>185.4</v>
      </c>
      <c r="K343" s="3">
        <v>185.6</v>
      </c>
      <c r="L343" s="3">
        <v>185.84</v>
      </c>
      <c r="M343" s="3">
        <v>1</v>
      </c>
      <c r="N343" s="3">
        <v>1</v>
      </c>
      <c r="O343" s="3">
        <v>1</v>
      </c>
    </row>
    <row r="344" spans="1:15" hidden="1">
      <c r="A344" s="3">
        <v>553015</v>
      </c>
      <c r="B344" s="3" t="s">
        <v>388</v>
      </c>
      <c r="C344" s="3" t="s">
        <v>367</v>
      </c>
      <c r="D344" s="3">
        <v>-30.3306</v>
      </c>
      <c r="E344" s="3">
        <v>149.29169999999999</v>
      </c>
      <c r="F344" s="3" t="s">
        <v>17</v>
      </c>
      <c r="G344" s="3" t="s">
        <v>18</v>
      </c>
      <c r="H344" s="3">
        <v>192.58</v>
      </c>
      <c r="M344" s="3">
        <v>1</v>
      </c>
      <c r="N344" s="3">
        <v>1</v>
      </c>
      <c r="O344" s="3">
        <f>M344*N344</f>
        <v>1</v>
      </c>
    </row>
    <row r="345" spans="1:15" hidden="1">
      <c r="A345" s="3">
        <v>554005</v>
      </c>
      <c r="B345" s="3" t="s">
        <v>389</v>
      </c>
      <c r="C345" s="3" t="s">
        <v>367</v>
      </c>
      <c r="D345" s="3">
        <v>-30.4542</v>
      </c>
      <c r="E345" s="3">
        <v>149.9444</v>
      </c>
      <c r="F345" s="3" t="s">
        <v>17</v>
      </c>
      <c r="G345" s="3" t="s">
        <v>18</v>
      </c>
      <c r="H345" s="3">
        <v>227.65</v>
      </c>
      <c r="I345" s="3">
        <v>228.53</v>
      </c>
      <c r="J345" s="3">
        <v>228.78</v>
      </c>
      <c r="K345" s="3">
        <v>229.13</v>
      </c>
      <c r="L345" s="3">
        <v>229.56</v>
      </c>
      <c r="M345" s="3">
        <v>1</v>
      </c>
      <c r="N345" s="3">
        <v>1</v>
      </c>
      <c r="O345" s="3">
        <v>1</v>
      </c>
    </row>
    <row r="346" spans="1:15" hidden="1">
      <c r="A346" s="3">
        <v>554006</v>
      </c>
      <c r="B346" s="3" t="s">
        <v>390</v>
      </c>
      <c r="C346" s="3" t="s">
        <v>367</v>
      </c>
      <c r="D346" s="3">
        <v>-30.404699999999998</v>
      </c>
      <c r="E346" s="3">
        <v>150.72190000000001</v>
      </c>
      <c r="F346" s="3" t="s">
        <v>17</v>
      </c>
      <c r="G346" s="3" t="s">
        <v>18</v>
      </c>
      <c r="H346" s="3">
        <v>484.85</v>
      </c>
      <c r="I346" s="3">
        <v>487.46</v>
      </c>
      <c r="J346" s="3">
        <v>487.85</v>
      </c>
      <c r="K346" s="3">
        <v>488.73</v>
      </c>
      <c r="L346" s="3">
        <v>490.31</v>
      </c>
      <c r="M346" s="3">
        <v>1</v>
      </c>
      <c r="N346" s="3">
        <v>1</v>
      </c>
      <c r="O346" s="3">
        <v>1</v>
      </c>
    </row>
    <row r="347" spans="1:15" hidden="1">
      <c r="A347" s="3">
        <v>554013</v>
      </c>
      <c r="B347" s="3" t="s">
        <v>391</v>
      </c>
      <c r="C347" s="3" t="s">
        <v>367</v>
      </c>
      <c r="D347" s="3">
        <v>-30.422499999999999</v>
      </c>
      <c r="E347" s="3">
        <v>150.65</v>
      </c>
      <c r="F347" s="3" t="s">
        <v>17</v>
      </c>
      <c r="G347" s="3" t="s">
        <v>18</v>
      </c>
      <c r="H347" s="3">
        <v>479.85</v>
      </c>
      <c r="M347" s="3">
        <v>1</v>
      </c>
      <c r="N347" s="3">
        <v>1</v>
      </c>
      <c r="O347" s="3">
        <f>M347*N347</f>
        <v>1</v>
      </c>
    </row>
    <row r="348" spans="1:15">
      <c r="A348" s="3">
        <v>555000</v>
      </c>
      <c r="B348" s="3" t="s">
        <v>392</v>
      </c>
      <c r="C348" s="3" t="s">
        <v>367</v>
      </c>
      <c r="D348" s="3">
        <v>-30.973600000000001</v>
      </c>
      <c r="E348" s="3">
        <v>150.2544</v>
      </c>
      <c r="F348" s="3" t="s">
        <v>17</v>
      </c>
      <c r="G348" s="3" t="s">
        <v>18</v>
      </c>
      <c r="H348" s="3">
        <v>262.43</v>
      </c>
      <c r="I348" s="3">
        <v>263.39999999999998</v>
      </c>
      <c r="J348" s="3">
        <v>263.61</v>
      </c>
      <c r="K348" s="3">
        <v>263.88</v>
      </c>
      <c r="L348" s="3">
        <v>264.26</v>
      </c>
      <c r="M348" s="3">
        <v>2</v>
      </c>
      <c r="N348" s="3">
        <v>3</v>
      </c>
      <c r="O348" s="3">
        <v>6</v>
      </c>
    </row>
    <row r="349" spans="1:15" hidden="1">
      <c r="A349" s="3">
        <v>555001</v>
      </c>
      <c r="B349" s="3" t="s">
        <v>393</v>
      </c>
      <c r="C349" s="3" t="s">
        <v>367</v>
      </c>
      <c r="D349" s="3">
        <v>-30.872499999999999</v>
      </c>
      <c r="E349" s="3">
        <v>150.49189999999999</v>
      </c>
      <c r="F349" s="3" t="s">
        <v>17</v>
      </c>
      <c r="G349" s="3" t="s">
        <v>18</v>
      </c>
      <c r="H349" s="3">
        <v>342.8</v>
      </c>
      <c r="M349" s="3">
        <v>1</v>
      </c>
      <c r="N349" s="3">
        <v>1</v>
      </c>
      <c r="O349" s="3">
        <f>M349*N349</f>
        <v>1</v>
      </c>
    </row>
    <row r="350" spans="1:15" hidden="1">
      <c r="A350" s="3">
        <v>555002</v>
      </c>
      <c r="B350" s="3" t="s">
        <v>394</v>
      </c>
      <c r="C350" s="3" t="s">
        <v>367</v>
      </c>
      <c r="D350" s="3">
        <v>-30.5792</v>
      </c>
      <c r="E350" s="3">
        <v>150.6986</v>
      </c>
      <c r="F350" s="3" t="s">
        <v>17</v>
      </c>
      <c r="G350" s="3" t="s">
        <v>18</v>
      </c>
      <c r="H350" s="3">
        <v>454.64</v>
      </c>
      <c r="M350" s="3">
        <v>1</v>
      </c>
      <c r="N350" s="3">
        <v>1</v>
      </c>
      <c r="O350" s="3">
        <f>M350*N350</f>
        <v>1</v>
      </c>
    </row>
    <row r="351" spans="1:15" hidden="1">
      <c r="A351" s="3">
        <v>555003</v>
      </c>
      <c r="B351" s="3" t="s">
        <v>395</v>
      </c>
      <c r="C351" s="3" t="s">
        <v>367</v>
      </c>
      <c r="D351" s="3">
        <v>-30.680299999999999</v>
      </c>
      <c r="E351" s="3">
        <v>150.7783</v>
      </c>
      <c r="F351" s="3" t="s">
        <v>17</v>
      </c>
      <c r="G351" s="3" t="s">
        <v>18</v>
      </c>
      <c r="H351" s="3">
        <v>371.57</v>
      </c>
      <c r="I351" s="3">
        <v>375.95</v>
      </c>
      <c r="J351" s="3">
        <v>376.1</v>
      </c>
      <c r="K351" s="3">
        <v>376.47</v>
      </c>
      <c r="L351" s="3">
        <v>377.35</v>
      </c>
      <c r="M351" s="3">
        <v>1</v>
      </c>
      <c r="N351" s="3">
        <v>1</v>
      </c>
      <c r="O351" s="3">
        <v>1</v>
      </c>
    </row>
    <row r="352" spans="1:15" hidden="1">
      <c r="A352" s="3">
        <v>555004</v>
      </c>
      <c r="B352" s="3" t="s">
        <v>396</v>
      </c>
      <c r="C352" s="3" t="s">
        <v>367</v>
      </c>
      <c r="D352" s="3">
        <v>-30.669699999999999</v>
      </c>
      <c r="E352" s="3">
        <v>150.05670000000001</v>
      </c>
      <c r="F352" s="3" t="s">
        <v>17</v>
      </c>
      <c r="G352" s="3" t="s">
        <v>49</v>
      </c>
      <c r="H352" s="3">
        <v>238.55</v>
      </c>
      <c r="I352" s="3">
        <v>240.87</v>
      </c>
      <c r="J352" s="3">
        <v>241.1</v>
      </c>
      <c r="K352" s="3">
        <v>241.4</v>
      </c>
      <c r="L352" s="3">
        <v>241.79</v>
      </c>
      <c r="M352" s="3">
        <v>1</v>
      </c>
      <c r="N352" s="3">
        <v>1</v>
      </c>
      <c r="O352" s="3">
        <v>1</v>
      </c>
    </row>
    <row r="353" spans="1:15">
      <c r="A353" s="3">
        <v>555005</v>
      </c>
      <c r="B353" s="3" t="s">
        <v>397</v>
      </c>
      <c r="C353" s="3" t="s">
        <v>367</v>
      </c>
      <c r="D353" s="3">
        <v>-31.408899999999999</v>
      </c>
      <c r="E353" s="3">
        <v>150.4297</v>
      </c>
      <c r="F353" s="3" t="s">
        <v>17</v>
      </c>
      <c r="G353" s="3" t="s">
        <v>21</v>
      </c>
      <c r="H353" s="3">
        <v>302.66000000000003</v>
      </c>
      <c r="I353" s="3">
        <v>304.24</v>
      </c>
      <c r="J353" s="3">
        <v>304.51</v>
      </c>
      <c r="K353" s="3">
        <v>304.95</v>
      </c>
      <c r="L353" s="3">
        <v>306.47000000000003</v>
      </c>
      <c r="M353" s="3">
        <v>2</v>
      </c>
      <c r="N353" s="3">
        <v>2</v>
      </c>
      <c r="O353" s="3">
        <v>4</v>
      </c>
    </row>
    <row r="354" spans="1:15" hidden="1">
      <c r="A354" s="3">
        <v>555006</v>
      </c>
      <c r="B354" s="3" t="s">
        <v>398</v>
      </c>
      <c r="C354" s="3" t="s">
        <v>367</v>
      </c>
      <c r="D354" s="3">
        <v>-31.3431</v>
      </c>
      <c r="E354" s="3">
        <v>151.1422</v>
      </c>
      <c r="F354" s="3" t="s">
        <v>17</v>
      </c>
      <c r="G354" s="3" t="s">
        <v>18</v>
      </c>
      <c r="H354" s="3">
        <v>494.14</v>
      </c>
      <c r="I354" s="3">
        <v>494.26</v>
      </c>
      <c r="J354" s="3">
        <v>494.27</v>
      </c>
      <c r="K354" s="3">
        <v>494.33</v>
      </c>
      <c r="L354" s="3">
        <v>495.89</v>
      </c>
      <c r="M354" s="3">
        <v>1</v>
      </c>
      <c r="N354" s="3">
        <v>1</v>
      </c>
      <c r="O354" s="3">
        <v>1</v>
      </c>
    </row>
    <row r="355" spans="1:15" hidden="1">
      <c r="A355" s="3">
        <v>555007</v>
      </c>
      <c r="B355" s="3" t="s">
        <v>399</v>
      </c>
      <c r="C355" s="3" t="s">
        <v>367</v>
      </c>
      <c r="D355" s="3">
        <v>-31.350300000000001</v>
      </c>
      <c r="E355" s="3">
        <v>149.88579999999999</v>
      </c>
      <c r="F355" s="3" t="s">
        <v>17</v>
      </c>
      <c r="G355" s="3" t="s">
        <v>21</v>
      </c>
      <c r="H355" s="3">
        <v>344.65</v>
      </c>
      <c r="K355" s="3">
        <v>344.87</v>
      </c>
      <c r="L355" s="3">
        <v>345.56</v>
      </c>
      <c r="M355" s="3">
        <v>1</v>
      </c>
      <c r="N355" s="3">
        <v>1</v>
      </c>
      <c r="O355" s="3">
        <f>M355*N355</f>
        <v>1</v>
      </c>
    </row>
    <row r="356" spans="1:15" hidden="1">
      <c r="A356" s="3">
        <v>555009</v>
      </c>
      <c r="B356" s="3" t="s">
        <v>400</v>
      </c>
      <c r="C356" s="3" t="s">
        <v>367</v>
      </c>
      <c r="D356" s="3">
        <v>-31.433299999999999</v>
      </c>
      <c r="E356" s="3">
        <v>151.13329999999999</v>
      </c>
      <c r="F356" s="3" t="s">
        <v>17</v>
      </c>
      <c r="G356" s="3" t="s">
        <v>21</v>
      </c>
      <c r="H356" s="3">
        <v>595.16999999999996</v>
      </c>
      <c r="M356" s="3">
        <v>1</v>
      </c>
      <c r="N356" s="3">
        <v>1</v>
      </c>
      <c r="O356" s="3">
        <f>M356*N356</f>
        <v>1</v>
      </c>
    </row>
    <row r="357" spans="1:15" hidden="1">
      <c r="A357" s="3">
        <v>555011</v>
      </c>
      <c r="B357" s="3" t="s">
        <v>401</v>
      </c>
      <c r="C357" s="3" t="s">
        <v>367</v>
      </c>
      <c r="D357" s="3">
        <v>-30.5883</v>
      </c>
      <c r="E357" s="3">
        <v>150.6875</v>
      </c>
      <c r="F357" s="3" t="s">
        <v>17</v>
      </c>
      <c r="G357" s="3" t="s">
        <v>18</v>
      </c>
      <c r="H357" s="3">
        <v>458.17</v>
      </c>
      <c r="M357" s="3">
        <v>1</v>
      </c>
      <c r="N357" s="3">
        <v>1</v>
      </c>
      <c r="O357" s="3">
        <f>M357*N357</f>
        <v>1</v>
      </c>
    </row>
    <row r="358" spans="1:15" hidden="1">
      <c r="A358" s="3">
        <v>555012</v>
      </c>
      <c r="B358" s="3" t="s">
        <v>402</v>
      </c>
      <c r="C358" s="3" t="s">
        <v>367</v>
      </c>
      <c r="D358" s="3">
        <v>-31.35</v>
      </c>
      <c r="E358" s="3">
        <v>151.13749999999999</v>
      </c>
      <c r="F358" s="3" t="s">
        <v>17</v>
      </c>
      <c r="G358" s="3" t="s">
        <v>18</v>
      </c>
      <c r="H358" s="3">
        <v>518.5</v>
      </c>
      <c r="K358" s="3">
        <v>519.5</v>
      </c>
      <c r="L358" s="3">
        <v>521.79999999999995</v>
      </c>
      <c r="M358" s="3">
        <v>1</v>
      </c>
      <c r="N358" s="3">
        <v>1</v>
      </c>
      <c r="O358" s="3">
        <f>M358*N358</f>
        <v>1</v>
      </c>
    </row>
    <row r="359" spans="1:15" hidden="1">
      <c r="A359" s="3">
        <v>555013</v>
      </c>
      <c r="B359" s="3" t="s">
        <v>403</v>
      </c>
      <c r="C359" s="3" t="s">
        <v>367</v>
      </c>
      <c r="D359" s="3">
        <v>-30.774999999999999</v>
      </c>
      <c r="E359" s="3">
        <v>149.9889</v>
      </c>
      <c r="F359" s="3" t="s">
        <v>17</v>
      </c>
      <c r="G359" s="3" t="s">
        <v>21</v>
      </c>
      <c r="H359" s="3">
        <v>244.03</v>
      </c>
      <c r="I359" s="3">
        <v>247.09</v>
      </c>
      <c r="J359" s="3">
        <v>247.31</v>
      </c>
      <c r="K359" s="3">
        <v>247.59</v>
      </c>
      <c r="L359" s="3">
        <v>247.91</v>
      </c>
      <c r="M359" s="3">
        <v>1</v>
      </c>
      <c r="N359" s="3">
        <v>1</v>
      </c>
      <c r="O359" s="3">
        <v>1</v>
      </c>
    </row>
    <row r="360" spans="1:15" hidden="1">
      <c r="A360" s="3">
        <v>555016</v>
      </c>
      <c r="B360" s="3" t="s">
        <v>404</v>
      </c>
      <c r="C360" s="3" t="s">
        <v>367</v>
      </c>
      <c r="D360" s="3">
        <v>-30.968299999999999</v>
      </c>
      <c r="E360" s="3">
        <v>150.85329999999999</v>
      </c>
      <c r="F360" s="3" t="s">
        <v>17</v>
      </c>
      <c r="G360" s="3" t="s">
        <v>18</v>
      </c>
      <c r="H360" s="3">
        <v>348.62</v>
      </c>
      <c r="I360" s="3">
        <v>351.29</v>
      </c>
      <c r="J360" s="3">
        <v>351.58</v>
      </c>
      <c r="K360" s="3">
        <v>352.07</v>
      </c>
      <c r="L360" s="3">
        <v>352.87</v>
      </c>
      <c r="M360" s="3">
        <v>1</v>
      </c>
      <c r="N360" s="3">
        <v>2</v>
      </c>
      <c r="O360" s="3">
        <v>2</v>
      </c>
    </row>
    <row r="361" spans="1:15" hidden="1">
      <c r="A361" s="3">
        <v>555017</v>
      </c>
      <c r="B361" s="3" t="s">
        <v>405</v>
      </c>
      <c r="C361" s="3" t="s">
        <v>367</v>
      </c>
      <c r="D361" s="3">
        <v>-31.66</v>
      </c>
      <c r="E361" s="3">
        <v>150.6431</v>
      </c>
      <c r="F361" s="3" t="s">
        <v>17</v>
      </c>
      <c r="G361" s="3" t="s">
        <v>21</v>
      </c>
      <c r="H361" s="3">
        <v>364.84</v>
      </c>
      <c r="I361" s="3">
        <v>364.98</v>
      </c>
      <c r="J361" s="3">
        <v>364.98</v>
      </c>
      <c r="K361" s="3">
        <v>365.05</v>
      </c>
      <c r="L361" s="3">
        <v>365.16</v>
      </c>
      <c r="M361" s="3">
        <v>1</v>
      </c>
      <c r="N361" s="3">
        <v>2</v>
      </c>
      <c r="O361" s="3">
        <v>2</v>
      </c>
    </row>
    <row r="362" spans="1:15" hidden="1">
      <c r="A362" s="3">
        <v>555018</v>
      </c>
      <c r="B362" s="3" t="s">
        <v>406</v>
      </c>
      <c r="C362" s="3" t="s">
        <v>367</v>
      </c>
      <c r="D362" s="3">
        <v>-30.968299999999999</v>
      </c>
      <c r="E362" s="3">
        <v>150.73169999999999</v>
      </c>
      <c r="F362" s="3" t="s">
        <v>17</v>
      </c>
      <c r="G362" s="3" t="s">
        <v>18</v>
      </c>
      <c r="H362" s="3">
        <v>331.92</v>
      </c>
      <c r="K362" s="3">
        <v>332.45</v>
      </c>
      <c r="L362" s="3">
        <v>334.59</v>
      </c>
      <c r="M362" s="3">
        <v>1</v>
      </c>
      <c r="N362" s="3">
        <v>1</v>
      </c>
      <c r="O362" s="3">
        <f>M362*N362</f>
        <v>1</v>
      </c>
    </row>
    <row r="363" spans="1:15" hidden="1">
      <c r="A363" s="3">
        <v>555019</v>
      </c>
      <c r="B363" s="3" t="s">
        <v>407</v>
      </c>
      <c r="C363" s="3" t="s">
        <v>367</v>
      </c>
      <c r="D363" s="3">
        <v>-31.378299999999999</v>
      </c>
      <c r="E363" s="3">
        <v>149.8733</v>
      </c>
      <c r="F363" s="3" t="s">
        <v>17</v>
      </c>
      <c r="G363" s="3" t="s">
        <v>21</v>
      </c>
      <c r="H363" s="3">
        <v>359.66</v>
      </c>
      <c r="M363" s="3">
        <v>1</v>
      </c>
      <c r="N363" s="3">
        <v>1</v>
      </c>
      <c r="O363" s="3">
        <f>M363*N363</f>
        <v>1</v>
      </c>
    </row>
    <row r="364" spans="1:15" hidden="1">
      <c r="A364" s="3">
        <v>555020</v>
      </c>
      <c r="B364" s="3" t="s">
        <v>408</v>
      </c>
      <c r="C364" s="3" t="s">
        <v>367</v>
      </c>
      <c r="D364" s="3">
        <v>-30.646100000000001</v>
      </c>
      <c r="E364" s="3">
        <v>150.67689999999999</v>
      </c>
      <c r="F364" s="3" t="s">
        <v>17</v>
      </c>
      <c r="G364" s="3" t="s">
        <v>18</v>
      </c>
      <c r="H364" s="3">
        <v>379.91</v>
      </c>
      <c r="I364" s="3">
        <v>381.97</v>
      </c>
      <c r="J364" s="3">
        <v>382.19</v>
      </c>
      <c r="K364" s="3">
        <v>382.86</v>
      </c>
      <c r="L364" s="3">
        <v>384.78</v>
      </c>
      <c r="M364" s="3">
        <v>1</v>
      </c>
      <c r="N364" s="3">
        <v>1</v>
      </c>
      <c r="O364" s="3">
        <v>1</v>
      </c>
    </row>
    <row r="365" spans="1:15" hidden="1">
      <c r="A365" s="3">
        <v>555021</v>
      </c>
      <c r="B365" s="3" t="s">
        <v>409</v>
      </c>
      <c r="C365" s="3" t="s">
        <v>367</v>
      </c>
      <c r="D365" s="3">
        <v>-31.5717</v>
      </c>
      <c r="E365" s="3">
        <v>149.97999999999999</v>
      </c>
      <c r="F365" s="3" t="s">
        <v>17</v>
      </c>
      <c r="G365" s="3" t="s">
        <v>21</v>
      </c>
      <c r="H365" s="3">
        <v>423.27</v>
      </c>
      <c r="I365" s="3">
        <v>423.86</v>
      </c>
      <c r="J365" s="3">
        <v>423.93</v>
      </c>
      <c r="K365" s="3">
        <v>424.05</v>
      </c>
      <c r="L365" s="3">
        <v>424.31</v>
      </c>
      <c r="M365" s="3">
        <v>1</v>
      </c>
      <c r="N365" s="3">
        <v>1</v>
      </c>
      <c r="O365" s="3">
        <v>1</v>
      </c>
    </row>
    <row r="366" spans="1:15" hidden="1">
      <c r="A366" s="3">
        <v>555022</v>
      </c>
      <c r="B366" s="3" t="s">
        <v>410</v>
      </c>
      <c r="C366" s="3" t="s">
        <v>367</v>
      </c>
      <c r="D366" s="3">
        <v>-31.035299999999999</v>
      </c>
      <c r="E366" s="3">
        <v>150.33359999999999</v>
      </c>
      <c r="F366" s="3" t="s">
        <v>17</v>
      </c>
      <c r="G366" s="3" t="s">
        <v>21</v>
      </c>
      <c r="H366" s="3">
        <v>264.5</v>
      </c>
      <c r="I366" s="3">
        <v>265.7</v>
      </c>
      <c r="J366" s="3">
        <v>265.86</v>
      </c>
      <c r="K366" s="3">
        <v>265.87</v>
      </c>
      <c r="L366" s="3">
        <v>265.89</v>
      </c>
      <c r="M366" s="3">
        <v>1</v>
      </c>
      <c r="N366" s="3">
        <v>1</v>
      </c>
      <c r="O366" s="3">
        <v>1</v>
      </c>
    </row>
    <row r="367" spans="1:15" hidden="1">
      <c r="A367" s="3">
        <v>555023</v>
      </c>
      <c r="B367" s="3" t="s">
        <v>411</v>
      </c>
      <c r="C367" s="3" t="s">
        <v>367</v>
      </c>
      <c r="D367" s="3">
        <v>-30.706700000000001</v>
      </c>
      <c r="E367" s="3">
        <v>150.82329999999999</v>
      </c>
      <c r="F367" s="3" t="s">
        <v>17</v>
      </c>
      <c r="G367" s="3" t="s">
        <v>18</v>
      </c>
      <c r="H367" s="3">
        <v>380.56</v>
      </c>
      <c r="I367" s="3">
        <v>381.83</v>
      </c>
      <c r="J367" s="3">
        <v>381.98</v>
      </c>
      <c r="K367" s="3">
        <v>382.33</v>
      </c>
      <c r="L367" s="3">
        <v>383</v>
      </c>
      <c r="M367" s="3">
        <v>1</v>
      </c>
      <c r="N367" s="3">
        <v>1</v>
      </c>
      <c r="O367" s="3">
        <v>1</v>
      </c>
    </row>
    <row r="368" spans="1:15" hidden="1">
      <c r="A368" s="3">
        <v>555024</v>
      </c>
      <c r="B368" s="3" t="s">
        <v>412</v>
      </c>
      <c r="C368" s="3" t="s">
        <v>367</v>
      </c>
      <c r="D368" s="3">
        <v>-30.9833</v>
      </c>
      <c r="E368" s="3">
        <v>150.4417</v>
      </c>
      <c r="F368" s="3" t="s">
        <v>17</v>
      </c>
      <c r="G368" s="3" t="s">
        <v>18</v>
      </c>
      <c r="H368" s="3">
        <v>276.60000000000002</v>
      </c>
      <c r="I368" s="3">
        <v>281.61</v>
      </c>
      <c r="J368" s="3">
        <v>282.77</v>
      </c>
      <c r="K368" s="3">
        <v>284.77</v>
      </c>
      <c r="L368" s="3">
        <v>288.10000000000002</v>
      </c>
      <c r="M368" s="3">
        <v>1</v>
      </c>
      <c r="N368" s="3">
        <v>1</v>
      </c>
      <c r="O368" s="3">
        <v>1</v>
      </c>
    </row>
    <row r="369" spans="1:15" hidden="1">
      <c r="A369" s="3">
        <v>555026</v>
      </c>
      <c r="B369" s="3" t="s">
        <v>413</v>
      </c>
      <c r="C369" s="3" t="s">
        <v>367</v>
      </c>
      <c r="D369" s="3">
        <v>-30.627700000000001</v>
      </c>
      <c r="E369" s="3">
        <v>151.10830000000001</v>
      </c>
      <c r="F369" s="3" t="s">
        <v>17</v>
      </c>
      <c r="G369" s="3" t="s">
        <v>21</v>
      </c>
      <c r="H369" s="3">
        <v>741.4</v>
      </c>
      <c r="M369" s="3">
        <v>1</v>
      </c>
      <c r="N369" s="3">
        <v>1</v>
      </c>
      <c r="O369" s="3">
        <f>M369*N369</f>
        <v>1</v>
      </c>
    </row>
    <row r="370" spans="1:15" hidden="1">
      <c r="A370" s="3">
        <v>555027</v>
      </c>
      <c r="B370" s="3" t="s">
        <v>414</v>
      </c>
      <c r="C370" s="3" t="s">
        <v>367</v>
      </c>
      <c r="D370" s="3">
        <v>-30.4969</v>
      </c>
      <c r="E370" s="3">
        <v>150.08170000000001</v>
      </c>
      <c r="F370" s="3" t="s">
        <v>17</v>
      </c>
      <c r="G370" s="3" t="s">
        <v>18</v>
      </c>
      <c r="H370" s="3">
        <v>261.89</v>
      </c>
      <c r="M370" s="3">
        <v>1</v>
      </c>
      <c r="N370" s="3">
        <v>1</v>
      </c>
      <c r="O370" s="3">
        <f>M370*N370</f>
        <v>1</v>
      </c>
    </row>
    <row r="371" spans="1:15" hidden="1">
      <c r="A371" s="3">
        <v>555033</v>
      </c>
      <c r="B371" s="3" t="s">
        <v>415</v>
      </c>
      <c r="C371" s="3" t="s">
        <v>367</v>
      </c>
      <c r="D371" s="3">
        <v>-31.5</v>
      </c>
      <c r="E371" s="3">
        <v>151.09299999999999</v>
      </c>
      <c r="F371" s="3" t="s">
        <v>17</v>
      </c>
      <c r="G371" s="3" t="s">
        <v>18</v>
      </c>
      <c r="H371" s="3">
        <v>621.04</v>
      </c>
      <c r="M371" s="3">
        <v>1</v>
      </c>
      <c r="N371" s="3">
        <v>1</v>
      </c>
      <c r="O371" s="3">
        <f>M371*N371</f>
        <v>1</v>
      </c>
    </row>
    <row r="372" spans="1:15" hidden="1">
      <c r="A372" s="3">
        <v>555034</v>
      </c>
      <c r="B372" s="3" t="s">
        <v>416</v>
      </c>
      <c r="C372" s="3" t="s">
        <v>367</v>
      </c>
      <c r="D372" s="3">
        <v>-31.167000000000002</v>
      </c>
      <c r="E372" s="3">
        <v>150.917</v>
      </c>
      <c r="F372" s="3" t="s">
        <v>17</v>
      </c>
      <c r="G372" s="3" t="s">
        <v>18</v>
      </c>
      <c r="H372" s="3">
        <v>404.11</v>
      </c>
      <c r="L372" s="3">
        <v>404.24</v>
      </c>
      <c r="M372" s="3">
        <v>1</v>
      </c>
      <c r="N372" s="3">
        <v>1</v>
      </c>
      <c r="O372" s="3">
        <f>M372*N372</f>
        <v>1</v>
      </c>
    </row>
    <row r="373" spans="1:15" hidden="1">
      <c r="A373" s="3">
        <v>555035</v>
      </c>
      <c r="B373" s="3" t="s">
        <v>417</v>
      </c>
      <c r="C373" s="3" t="s">
        <v>367</v>
      </c>
      <c r="D373" s="3">
        <v>-31.082999999999998</v>
      </c>
      <c r="E373" s="3">
        <v>151.03299999999999</v>
      </c>
      <c r="F373" s="3" t="s">
        <v>17</v>
      </c>
      <c r="G373" s="3" t="s">
        <v>18</v>
      </c>
      <c r="H373" s="3">
        <v>410.02</v>
      </c>
      <c r="I373" s="3">
        <v>413.81</v>
      </c>
      <c r="J373" s="3">
        <v>414.08</v>
      </c>
      <c r="K373" s="3">
        <v>414.54</v>
      </c>
      <c r="L373" s="3">
        <v>415.74</v>
      </c>
      <c r="M373" s="3">
        <v>1</v>
      </c>
      <c r="N373" s="3">
        <v>2</v>
      </c>
      <c r="O373" s="3">
        <v>2</v>
      </c>
    </row>
    <row r="374" spans="1:15" hidden="1">
      <c r="A374" s="3">
        <v>556005</v>
      </c>
      <c r="B374" s="3" t="s">
        <v>418</v>
      </c>
      <c r="C374" s="3" t="s">
        <v>367</v>
      </c>
      <c r="D374" s="3">
        <v>-31.1022</v>
      </c>
      <c r="E374" s="3">
        <v>150.9375</v>
      </c>
      <c r="F374" s="3" t="s">
        <v>17</v>
      </c>
      <c r="G374" s="3" t="s">
        <v>18</v>
      </c>
      <c r="H374" s="3">
        <v>382.03</v>
      </c>
      <c r="I374" s="3">
        <v>384.3</v>
      </c>
      <c r="J374" s="3">
        <v>384.72</v>
      </c>
      <c r="K374" s="3">
        <v>385.43</v>
      </c>
      <c r="L374" s="3">
        <v>386.46</v>
      </c>
      <c r="M374" s="3">
        <v>1</v>
      </c>
      <c r="N374" s="3">
        <v>1</v>
      </c>
      <c r="O374" s="3">
        <v>1</v>
      </c>
    </row>
    <row r="375" spans="1:15" hidden="1">
      <c r="A375" s="3">
        <v>559000</v>
      </c>
      <c r="B375" s="3" t="s">
        <v>419</v>
      </c>
      <c r="C375" s="3" t="s">
        <v>367</v>
      </c>
      <c r="D375" s="3">
        <v>-30.9678</v>
      </c>
      <c r="E375" s="3">
        <v>151.34690000000001</v>
      </c>
      <c r="F375" s="3" t="s">
        <v>17</v>
      </c>
      <c r="G375" s="3" t="s">
        <v>21</v>
      </c>
      <c r="H375" s="3">
        <v>906.82</v>
      </c>
      <c r="I375" s="3">
        <v>908.45</v>
      </c>
      <c r="J375" s="3">
        <v>908.98</v>
      </c>
      <c r="K375" s="3">
        <v>909.57</v>
      </c>
      <c r="L375" s="3">
        <v>910.96</v>
      </c>
      <c r="M375" s="3">
        <v>1</v>
      </c>
      <c r="N375" s="3">
        <v>1</v>
      </c>
      <c r="O375" s="3">
        <v>1</v>
      </c>
    </row>
    <row r="376" spans="1:15">
      <c r="A376" s="3">
        <v>548008</v>
      </c>
      <c r="B376" s="3" t="s">
        <v>420</v>
      </c>
      <c r="C376" s="3" t="s">
        <v>421</v>
      </c>
      <c r="D376" s="3">
        <v>-29.241599999999998</v>
      </c>
      <c r="E376" s="3">
        <v>144.45529999999999</v>
      </c>
      <c r="F376" s="3" t="s">
        <v>17</v>
      </c>
      <c r="G376" s="3" t="s">
        <v>18</v>
      </c>
      <c r="H376" s="3">
        <v>118.04</v>
      </c>
      <c r="I376" s="3">
        <v>118.81</v>
      </c>
      <c r="J376" s="3">
        <v>118.93</v>
      </c>
      <c r="K376" s="3">
        <v>119.09</v>
      </c>
      <c r="L376" s="3">
        <v>119.42</v>
      </c>
      <c r="M376" s="3">
        <v>2</v>
      </c>
      <c r="N376" s="3">
        <v>3</v>
      </c>
      <c r="O376" s="3">
        <v>6</v>
      </c>
    </row>
    <row r="377" spans="1:15">
      <c r="A377" s="3">
        <v>58061</v>
      </c>
      <c r="B377" s="3" t="s">
        <v>422</v>
      </c>
      <c r="C377" s="3" t="s">
        <v>423</v>
      </c>
      <c r="D377" s="3">
        <v>-29.073399999999999</v>
      </c>
      <c r="E377" s="3">
        <v>153.34129999999999</v>
      </c>
      <c r="F377" s="3" t="s">
        <v>17</v>
      </c>
      <c r="G377" s="3" t="s">
        <v>18</v>
      </c>
      <c r="H377" s="3">
        <v>2.82</v>
      </c>
      <c r="I377" s="3">
        <v>4.66</v>
      </c>
      <c r="J377" s="3">
        <v>4.82</v>
      </c>
      <c r="K377" s="3">
        <v>4.9800000000000004</v>
      </c>
      <c r="L377" s="3">
        <v>5.15</v>
      </c>
      <c r="M377" s="3">
        <v>3</v>
      </c>
      <c r="N377" s="3">
        <v>3</v>
      </c>
      <c r="O377" s="3">
        <v>9</v>
      </c>
    </row>
    <row r="378" spans="1:15">
      <c r="A378" s="3">
        <v>58147</v>
      </c>
      <c r="B378" s="3" t="s">
        <v>424</v>
      </c>
      <c r="C378" s="3" t="s">
        <v>423</v>
      </c>
      <c r="D378" s="3">
        <v>-28.679200000000002</v>
      </c>
      <c r="E378" s="3">
        <v>153.2775</v>
      </c>
      <c r="F378" s="3" t="s">
        <v>17</v>
      </c>
      <c r="G378" s="3" t="s">
        <v>21</v>
      </c>
      <c r="H378" s="3">
        <v>27</v>
      </c>
      <c r="I378" s="3">
        <v>27.22</v>
      </c>
      <c r="J378" s="3">
        <v>27.22</v>
      </c>
      <c r="K378" s="3">
        <v>27.22</v>
      </c>
      <c r="L378" s="3">
        <v>27.22</v>
      </c>
      <c r="M378" s="3">
        <v>3</v>
      </c>
      <c r="N378" s="3">
        <v>2</v>
      </c>
      <c r="O378" s="3">
        <v>6</v>
      </c>
    </row>
    <row r="379" spans="1:15">
      <c r="A379" s="3">
        <v>58162</v>
      </c>
      <c r="B379" s="3" t="s">
        <v>425</v>
      </c>
      <c r="C379" s="3" t="s">
        <v>423</v>
      </c>
      <c r="D379" s="3">
        <v>-28.727799999999998</v>
      </c>
      <c r="E379" s="3">
        <v>153.4622</v>
      </c>
      <c r="F379" s="3" t="s">
        <v>17</v>
      </c>
      <c r="G379" s="3" t="s">
        <v>21</v>
      </c>
      <c r="H379" s="3">
        <v>19.8</v>
      </c>
      <c r="I379" s="3">
        <v>24.52</v>
      </c>
      <c r="J379" s="3">
        <v>24.57</v>
      </c>
      <c r="K379" s="3">
        <v>24.61</v>
      </c>
      <c r="L379" s="3">
        <v>24.64</v>
      </c>
      <c r="M379" s="3">
        <v>3</v>
      </c>
      <c r="N379" s="3">
        <v>3</v>
      </c>
      <c r="O379" s="3">
        <v>9</v>
      </c>
    </row>
    <row r="380" spans="1:15">
      <c r="A380" s="3">
        <v>58175</v>
      </c>
      <c r="B380" s="3" t="s">
        <v>426</v>
      </c>
      <c r="C380" s="3" t="s">
        <v>423</v>
      </c>
      <c r="D380" s="3">
        <v>-28.988299999999999</v>
      </c>
      <c r="E380" s="3">
        <v>153.28829999999999</v>
      </c>
      <c r="F380" s="3" t="s">
        <v>17</v>
      </c>
      <c r="G380" s="3" t="s">
        <v>18</v>
      </c>
      <c r="H380" s="3">
        <v>6.06</v>
      </c>
      <c r="I380" s="3">
        <v>7.19</v>
      </c>
      <c r="J380" s="3">
        <v>7.4</v>
      </c>
      <c r="K380" s="3">
        <v>7.65</v>
      </c>
      <c r="L380" s="3">
        <v>7.89</v>
      </c>
      <c r="M380" s="3">
        <v>3</v>
      </c>
      <c r="N380" s="3">
        <v>3</v>
      </c>
      <c r="O380" s="3">
        <v>9</v>
      </c>
    </row>
    <row r="381" spans="1:15">
      <c r="A381" s="3">
        <v>58176</v>
      </c>
      <c r="B381" s="3" t="s">
        <v>427</v>
      </c>
      <c r="C381" s="3" t="s">
        <v>423</v>
      </c>
      <c r="D381" s="3">
        <v>-28.81</v>
      </c>
      <c r="E381" s="3">
        <v>153.27330000000001</v>
      </c>
      <c r="F381" s="3" t="s">
        <v>17</v>
      </c>
      <c r="G381" s="3" t="s">
        <v>18</v>
      </c>
      <c r="H381" s="3">
        <v>9.1300000000000008</v>
      </c>
      <c r="I381" s="3">
        <v>14.63</v>
      </c>
      <c r="J381" s="3">
        <v>14.98</v>
      </c>
      <c r="K381" s="3">
        <v>15.33</v>
      </c>
      <c r="L381" s="3">
        <v>15.66</v>
      </c>
      <c r="M381" s="3">
        <v>3</v>
      </c>
      <c r="N381" s="3">
        <v>1</v>
      </c>
      <c r="O381" s="3">
        <v>3</v>
      </c>
    </row>
    <row r="382" spans="1:15">
      <c r="A382" s="3">
        <v>58180</v>
      </c>
      <c r="B382" s="3" t="s">
        <v>428</v>
      </c>
      <c r="C382" s="3" t="s">
        <v>423</v>
      </c>
      <c r="D382" s="3">
        <v>-28.6069</v>
      </c>
      <c r="E382" s="3">
        <v>153.20830000000001</v>
      </c>
      <c r="F382" s="3" t="s">
        <v>17</v>
      </c>
      <c r="G382" s="3" t="s">
        <v>21</v>
      </c>
      <c r="H382" s="3">
        <v>37.33</v>
      </c>
      <c r="I382" s="3">
        <v>40.21</v>
      </c>
      <c r="J382" s="3">
        <v>40.39</v>
      </c>
      <c r="K382" s="3">
        <v>40.549999999999997</v>
      </c>
      <c r="L382" s="3">
        <v>40.68</v>
      </c>
      <c r="M382" s="3">
        <v>3</v>
      </c>
      <c r="N382" s="3">
        <v>3</v>
      </c>
      <c r="O382" s="3">
        <v>9</v>
      </c>
    </row>
    <row r="383" spans="1:15">
      <c r="A383" s="3">
        <v>58184</v>
      </c>
      <c r="B383" s="3" t="s">
        <v>429</v>
      </c>
      <c r="C383" s="3" t="s">
        <v>423</v>
      </c>
      <c r="D383" s="3">
        <v>-29.033300000000001</v>
      </c>
      <c r="E383" s="3">
        <v>153.2783</v>
      </c>
      <c r="F383" s="3" t="s">
        <v>17</v>
      </c>
      <c r="G383" s="3" t="s">
        <v>18</v>
      </c>
      <c r="H383" s="3">
        <v>-0.06</v>
      </c>
      <c r="I383" s="3">
        <v>5.43</v>
      </c>
      <c r="J383" s="3">
        <v>5.54</v>
      </c>
      <c r="K383" s="3">
        <v>5.65</v>
      </c>
      <c r="L383" s="3">
        <v>5.78</v>
      </c>
      <c r="M383" s="3">
        <v>3</v>
      </c>
      <c r="N383" s="3">
        <v>3</v>
      </c>
      <c r="O383" s="3">
        <v>9</v>
      </c>
    </row>
    <row r="384" spans="1:15">
      <c r="A384" s="3">
        <v>58199</v>
      </c>
      <c r="B384" s="3" t="s">
        <v>430</v>
      </c>
      <c r="C384" s="3" t="s">
        <v>423</v>
      </c>
      <c r="D384" s="3">
        <v>-28.7364</v>
      </c>
      <c r="E384" s="3">
        <v>153.1634</v>
      </c>
      <c r="F384" s="3" t="s">
        <v>17</v>
      </c>
      <c r="G384" s="3" t="s">
        <v>21</v>
      </c>
      <c r="H384" s="3">
        <v>26.56</v>
      </c>
      <c r="M384" s="3">
        <v>3</v>
      </c>
      <c r="N384" s="3">
        <v>1</v>
      </c>
      <c r="O384" s="3">
        <f>M384*N384</f>
        <v>3</v>
      </c>
    </row>
    <row r="385" spans="1:15">
      <c r="A385" s="3">
        <v>58200</v>
      </c>
      <c r="B385" s="3" t="s">
        <v>431</v>
      </c>
      <c r="C385" s="3" t="s">
        <v>423</v>
      </c>
      <c r="D385" s="3">
        <v>-28.756900000000002</v>
      </c>
      <c r="E385" s="3">
        <v>153.39439999999999</v>
      </c>
      <c r="F385" s="3" t="s">
        <v>17</v>
      </c>
      <c r="G385" s="3" t="s">
        <v>18</v>
      </c>
      <c r="H385" s="3">
        <v>17.55</v>
      </c>
      <c r="M385" s="3">
        <v>3</v>
      </c>
      <c r="N385" s="3">
        <v>1</v>
      </c>
      <c r="O385" s="3">
        <f>M385*N385</f>
        <v>3</v>
      </c>
    </row>
    <row r="386" spans="1:15">
      <c r="A386" s="3">
        <v>58201</v>
      </c>
      <c r="B386" s="3" t="s">
        <v>432</v>
      </c>
      <c r="C386" s="3" t="s">
        <v>423</v>
      </c>
      <c r="D386" s="3">
        <v>-28.796700000000001</v>
      </c>
      <c r="E386" s="3">
        <v>153.23859999999999</v>
      </c>
      <c r="F386" s="3" t="s">
        <v>17</v>
      </c>
      <c r="G386" s="3" t="s">
        <v>21</v>
      </c>
      <c r="H386" s="3">
        <v>13.28</v>
      </c>
      <c r="M386" s="3">
        <v>3</v>
      </c>
      <c r="N386" s="3">
        <v>1</v>
      </c>
      <c r="O386" s="3">
        <f>M386*N386</f>
        <v>3</v>
      </c>
    </row>
    <row r="387" spans="1:15">
      <c r="A387" s="3">
        <v>58202</v>
      </c>
      <c r="B387" s="3" t="s">
        <v>433</v>
      </c>
      <c r="C387" s="3" t="s">
        <v>423</v>
      </c>
      <c r="D387" s="3">
        <v>-28.740600000000001</v>
      </c>
      <c r="E387" s="3">
        <v>153.07499999999999</v>
      </c>
      <c r="F387" s="3" t="s">
        <v>17</v>
      </c>
      <c r="G387" s="3" t="s">
        <v>21</v>
      </c>
      <c r="H387" s="3">
        <v>45.65</v>
      </c>
      <c r="M387" s="3">
        <v>3</v>
      </c>
      <c r="N387" s="3">
        <v>1</v>
      </c>
      <c r="O387" s="3">
        <f>M387*N387</f>
        <v>3</v>
      </c>
    </row>
    <row r="388" spans="1:15">
      <c r="A388" s="3">
        <v>58206</v>
      </c>
      <c r="B388" s="3" t="s">
        <v>434</v>
      </c>
      <c r="C388" s="3" t="s">
        <v>423</v>
      </c>
      <c r="D388" s="3">
        <v>-28.723099999999999</v>
      </c>
      <c r="E388" s="3">
        <v>153.3614</v>
      </c>
      <c r="F388" s="3" t="s">
        <v>17</v>
      </c>
      <c r="G388" s="3" t="s">
        <v>21</v>
      </c>
      <c r="H388" s="3">
        <v>20.45</v>
      </c>
      <c r="M388" s="3">
        <v>3</v>
      </c>
      <c r="N388" s="3">
        <v>1</v>
      </c>
      <c r="O388" s="3">
        <f>M388*N388</f>
        <v>3</v>
      </c>
    </row>
    <row r="389" spans="1:15">
      <c r="A389" s="3">
        <v>558000</v>
      </c>
      <c r="B389" s="3" t="s">
        <v>435</v>
      </c>
      <c r="C389" s="3" t="s">
        <v>423</v>
      </c>
      <c r="D389" s="3">
        <v>-28.640799999999999</v>
      </c>
      <c r="E389" s="3">
        <v>153.41309999999999</v>
      </c>
      <c r="F389" s="3" t="s">
        <v>17</v>
      </c>
      <c r="G389" s="3" t="s">
        <v>21</v>
      </c>
      <c r="H389" s="3">
        <v>54.86</v>
      </c>
      <c r="M389" s="3">
        <v>3</v>
      </c>
      <c r="N389" s="3">
        <v>1</v>
      </c>
      <c r="O389" s="3">
        <f>M389*N389</f>
        <v>3</v>
      </c>
    </row>
    <row r="390" spans="1:15">
      <c r="A390" s="3">
        <v>558001</v>
      </c>
      <c r="B390" s="3" t="s">
        <v>436</v>
      </c>
      <c r="C390" s="3" t="s">
        <v>423</v>
      </c>
      <c r="D390" s="3">
        <v>-28.5167</v>
      </c>
      <c r="E390" s="3">
        <v>152.9667</v>
      </c>
      <c r="F390" s="3" t="s">
        <v>17</v>
      </c>
      <c r="G390" s="3" t="s">
        <v>21</v>
      </c>
      <c r="H390" s="3">
        <v>98.89</v>
      </c>
      <c r="M390" s="3">
        <v>3</v>
      </c>
      <c r="N390" s="3">
        <v>1</v>
      </c>
      <c r="O390" s="3">
        <f>M390*N390</f>
        <v>3</v>
      </c>
    </row>
    <row r="391" spans="1:15">
      <c r="A391" s="3">
        <v>558002</v>
      </c>
      <c r="B391" s="3" t="s">
        <v>437</v>
      </c>
      <c r="C391" s="3" t="s">
        <v>423</v>
      </c>
      <c r="D391" s="3">
        <v>-28.621700000000001</v>
      </c>
      <c r="E391" s="3">
        <v>152.995</v>
      </c>
      <c r="F391" s="3" t="s">
        <v>17</v>
      </c>
      <c r="G391" s="3" t="s">
        <v>21</v>
      </c>
      <c r="H391" s="3">
        <v>58.12</v>
      </c>
      <c r="I391" s="3">
        <v>58.22</v>
      </c>
      <c r="J391" s="3">
        <v>58.22</v>
      </c>
      <c r="K391" s="3">
        <v>58.22</v>
      </c>
      <c r="L391" s="3">
        <v>58.22</v>
      </c>
      <c r="M391" s="3">
        <v>3</v>
      </c>
      <c r="N391" s="3">
        <v>3</v>
      </c>
      <c r="O391" s="3">
        <v>9</v>
      </c>
    </row>
    <row r="392" spans="1:15">
      <c r="A392" s="3">
        <v>558012</v>
      </c>
      <c r="B392" s="3" t="s">
        <v>438</v>
      </c>
      <c r="C392" s="3" t="s">
        <v>423</v>
      </c>
      <c r="D392" s="3">
        <v>-28.785</v>
      </c>
      <c r="E392" s="3">
        <v>153.30359999999999</v>
      </c>
      <c r="F392" s="3" t="s">
        <v>17</v>
      </c>
      <c r="G392" s="3" t="s">
        <v>18</v>
      </c>
      <c r="H392" s="3">
        <v>8.9499999999999993</v>
      </c>
      <c r="I392" s="3">
        <v>11.39</v>
      </c>
      <c r="J392" s="3">
        <v>11.62</v>
      </c>
      <c r="K392" s="3">
        <v>11.84</v>
      </c>
      <c r="L392" s="3">
        <v>12.05</v>
      </c>
      <c r="M392" s="3">
        <v>3</v>
      </c>
      <c r="N392" s="3">
        <v>2</v>
      </c>
      <c r="O392" s="3">
        <v>6</v>
      </c>
    </row>
    <row r="393" spans="1:15">
      <c r="A393" s="3">
        <v>558013</v>
      </c>
      <c r="B393" s="3" t="s">
        <v>439</v>
      </c>
      <c r="C393" s="3" t="s">
        <v>423</v>
      </c>
      <c r="D393" s="3">
        <v>-28.866700000000002</v>
      </c>
      <c r="E393" s="3">
        <v>153.05000000000001</v>
      </c>
      <c r="F393" s="3" t="s">
        <v>17</v>
      </c>
      <c r="G393" s="3" t="s">
        <v>18</v>
      </c>
      <c r="H393" s="3">
        <v>14.32</v>
      </c>
      <c r="I393" s="3">
        <v>23.43</v>
      </c>
      <c r="J393" s="3">
        <v>23.94</v>
      </c>
      <c r="K393" s="3">
        <v>24.32</v>
      </c>
      <c r="L393" s="3">
        <v>24.32</v>
      </c>
      <c r="M393" s="3">
        <v>3</v>
      </c>
      <c r="N393" s="3">
        <v>2</v>
      </c>
      <c r="O393" s="3">
        <v>6</v>
      </c>
    </row>
    <row r="394" spans="1:15">
      <c r="A394" s="3">
        <v>558015</v>
      </c>
      <c r="B394" s="3" t="s">
        <v>440</v>
      </c>
      <c r="C394" s="3" t="s">
        <v>423</v>
      </c>
      <c r="D394" s="3">
        <v>-29.111899999999999</v>
      </c>
      <c r="E394" s="3">
        <v>152.9983</v>
      </c>
      <c r="F394" s="3" t="s">
        <v>17</v>
      </c>
      <c r="G394" s="3" t="s">
        <v>21</v>
      </c>
      <c r="H394" s="3">
        <v>35.46</v>
      </c>
      <c r="I394" s="3">
        <v>39.79</v>
      </c>
      <c r="J394" s="3">
        <v>39.880000000000003</v>
      </c>
      <c r="K394" s="3">
        <v>39.97</v>
      </c>
      <c r="L394" s="3">
        <v>40.04</v>
      </c>
      <c r="M394" s="3">
        <v>3</v>
      </c>
      <c r="N394" s="3">
        <v>3</v>
      </c>
      <c r="O394" s="3">
        <v>9</v>
      </c>
    </row>
    <row r="395" spans="1:15">
      <c r="A395" s="3">
        <v>558037</v>
      </c>
      <c r="B395" s="3" t="s">
        <v>441</v>
      </c>
      <c r="C395" s="3" t="s">
        <v>423</v>
      </c>
      <c r="D395" s="3">
        <v>-28.7591</v>
      </c>
      <c r="E395" s="3">
        <v>152.9222</v>
      </c>
      <c r="F395" s="3" t="s">
        <v>17</v>
      </c>
      <c r="G395" s="3" t="s">
        <v>21</v>
      </c>
      <c r="H395" s="3">
        <v>41.57</v>
      </c>
      <c r="L395" s="3">
        <v>41.7</v>
      </c>
      <c r="M395" s="3">
        <v>3</v>
      </c>
      <c r="N395" s="3">
        <v>1</v>
      </c>
      <c r="O395" s="3">
        <f>M395*N395</f>
        <v>3</v>
      </c>
    </row>
    <row r="396" spans="1:15">
      <c r="A396" s="3">
        <v>558038</v>
      </c>
      <c r="B396" s="3" t="s">
        <v>442</v>
      </c>
      <c r="C396" s="3" t="s">
        <v>423</v>
      </c>
      <c r="D396" s="3">
        <v>-28.944700000000001</v>
      </c>
      <c r="E396" s="3">
        <v>153.06030000000001</v>
      </c>
      <c r="F396" s="3" t="s">
        <v>17</v>
      </c>
      <c r="G396" s="3" t="s">
        <v>21</v>
      </c>
      <c r="H396" s="3">
        <v>29.36</v>
      </c>
      <c r="I396" s="3">
        <v>29.52</v>
      </c>
      <c r="J396" s="3">
        <v>29.52</v>
      </c>
      <c r="K396" s="3">
        <v>29.52</v>
      </c>
      <c r="L396" s="3">
        <v>29.52</v>
      </c>
      <c r="M396" s="3">
        <v>3</v>
      </c>
      <c r="N396" s="3">
        <v>3</v>
      </c>
      <c r="O396" s="3">
        <v>9</v>
      </c>
    </row>
    <row r="397" spans="1:15">
      <c r="A397" s="3">
        <v>558039</v>
      </c>
      <c r="B397" s="3" t="s">
        <v>443</v>
      </c>
      <c r="C397" s="3" t="s">
        <v>423</v>
      </c>
      <c r="D397" s="3">
        <v>-28.62</v>
      </c>
      <c r="E397" s="3">
        <v>152.79249999999999</v>
      </c>
      <c r="F397" s="3" t="s">
        <v>17</v>
      </c>
      <c r="G397" s="3" t="s">
        <v>18</v>
      </c>
      <c r="H397" s="3">
        <v>125.91</v>
      </c>
      <c r="M397" s="3">
        <v>3</v>
      </c>
      <c r="N397" s="3">
        <v>1</v>
      </c>
      <c r="O397" s="3">
        <f>M397*N397</f>
        <v>3</v>
      </c>
    </row>
    <row r="398" spans="1:15">
      <c r="A398" s="3">
        <v>558044</v>
      </c>
      <c r="B398" s="3" t="s">
        <v>444</v>
      </c>
      <c r="C398" s="3" t="s">
        <v>423</v>
      </c>
      <c r="D398" s="3">
        <v>-28.875</v>
      </c>
      <c r="E398" s="3">
        <v>153.52500000000001</v>
      </c>
      <c r="F398" s="3" t="s">
        <v>17</v>
      </c>
      <c r="G398" s="3" t="s">
        <v>49</v>
      </c>
      <c r="H398" s="3">
        <v>-0.31</v>
      </c>
      <c r="I398" s="3">
        <v>3.68</v>
      </c>
      <c r="J398" s="3">
        <v>3.86</v>
      </c>
      <c r="K398" s="3">
        <v>4.05</v>
      </c>
      <c r="L398" s="3">
        <v>4.25</v>
      </c>
      <c r="M398" s="3">
        <v>3</v>
      </c>
      <c r="N398" s="3">
        <v>3</v>
      </c>
      <c r="O398" s="3">
        <v>9</v>
      </c>
    </row>
    <row r="399" spans="1:15">
      <c r="A399" s="3">
        <v>558047</v>
      </c>
      <c r="B399" s="3" t="s">
        <v>445</v>
      </c>
      <c r="C399" s="3" t="s">
        <v>423</v>
      </c>
      <c r="D399" s="3">
        <v>-28.847200000000001</v>
      </c>
      <c r="E399" s="3">
        <v>153.26439999999999</v>
      </c>
      <c r="F399" s="3" t="s">
        <v>17</v>
      </c>
      <c r="G399" s="3" t="s">
        <v>18</v>
      </c>
      <c r="H399" s="3">
        <v>3.66</v>
      </c>
      <c r="I399" s="3">
        <v>10.4</v>
      </c>
      <c r="J399" s="3">
        <v>10.66</v>
      </c>
      <c r="K399" s="3">
        <v>10.94</v>
      </c>
      <c r="L399" s="3">
        <v>11.23</v>
      </c>
      <c r="M399" s="3">
        <v>3</v>
      </c>
      <c r="N399" s="3">
        <v>3</v>
      </c>
      <c r="O399" s="3">
        <v>9</v>
      </c>
    </row>
    <row r="400" spans="1:15">
      <c r="A400" s="3">
        <v>558075</v>
      </c>
      <c r="B400" s="3" t="s">
        <v>446</v>
      </c>
      <c r="C400" s="3" t="s">
        <v>423</v>
      </c>
      <c r="D400" s="3">
        <v>-28.748799999999999</v>
      </c>
      <c r="E400" s="3">
        <v>153.21799999999999</v>
      </c>
      <c r="F400" s="3" t="s">
        <v>17</v>
      </c>
      <c r="G400" s="3" t="s">
        <v>52</v>
      </c>
      <c r="H400" s="3">
        <v>6.46</v>
      </c>
      <c r="I400" s="3">
        <v>14.33</v>
      </c>
      <c r="J400" s="3">
        <v>14.48</v>
      </c>
      <c r="K400" s="3">
        <v>14.6</v>
      </c>
      <c r="L400" s="3">
        <v>14.68</v>
      </c>
      <c r="M400" s="3">
        <v>3</v>
      </c>
      <c r="N400" s="3">
        <v>2</v>
      </c>
      <c r="O400" s="3">
        <v>6</v>
      </c>
    </row>
    <row r="401" spans="1:15">
      <c r="A401" s="3">
        <v>558076</v>
      </c>
      <c r="B401" s="3" t="s">
        <v>447</v>
      </c>
      <c r="C401" s="3" t="s">
        <v>423</v>
      </c>
      <c r="D401" s="3">
        <v>-28.9619</v>
      </c>
      <c r="E401" s="3">
        <v>153.3066</v>
      </c>
      <c r="F401" s="3" t="s">
        <v>17</v>
      </c>
      <c r="G401" s="3" t="s">
        <v>52</v>
      </c>
      <c r="H401" s="3">
        <v>1.47</v>
      </c>
      <c r="I401" s="3">
        <v>7.46</v>
      </c>
      <c r="J401" s="3">
        <v>7.55</v>
      </c>
      <c r="K401" s="3">
        <v>7.65</v>
      </c>
      <c r="L401" s="3">
        <v>7.75</v>
      </c>
      <c r="M401" s="3">
        <v>3</v>
      </c>
      <c r="N401" s="3">
        <v>1</v>
      </c>
      <c r="O401" s="3">
        <v>3</v>
      </c>
    </row>
    <row r="402" spans="1:15" hidden="1">
      <c r="A402" s="3">
        <v>68181</v>
      </c>
      <c r="B402" s="3" t="s">
        <v>448</v>
      </c>
      <c r="C402" s="3" t="s">
        <v>449</v>
      </c>
      <c r="D402" s="3">
        <v>-34.727499999999999</v>
      </c>
      <c r="E402" s="3">
        <v>150.52080000000001</v>
      </c>
      <c r="F402" s="3" t="s">
        <v>17</v>
      </c>
      <c r="G402" s="3" t="s">
        <v>21</v>
      </c>
      <c r="H402" s="3">
        <v>60.5</v>
      </c>
      <c r="I402" s="3">
        <v>61.05</v>
      </c>
      <c r="J402" s="3">
        <v>61.08</v>
      </c>
      <c r="K402" s="3">
        <v>61.46</v>
      </c>
      <c r="L402" s="3">
        <v>64.59</v>
      </c>
      <c r="M402" s="3">
        <v>1</v>
      </c>
      <c r="N402" s="3">
        <v>1</v>
      </c>
      <c r="O402" s="3">
        <v>1</v>
      </c>
    </row>
    <row r="403" spans="1:15" hidden="1">
      <c r="A403" s="3">
        <v>68213</v>
      </c>
      <c r="B403" s="3" t="s">
        <v>450</v>
      </c>
      <c r="C403" s="3" t="s">
        <v>449</v>
      </c>
      <c r="D403" s="3">
        <v>-34.866700000000002</v>
      </c>
      <c r="E403" s="3">
        <v>150.60499999999999</v>
      </c>
      <c r="F403" s="3" t="s">
        <v>17</v>
      </c>
      <c r="G403" s="3" t="s">
        <v>21</v>
      </c>
      <c r="H403" s="3">
        <v>4.5199999999999996</v>
      </c>
      <c r="K403" s="3">
        <v>4.6900000000000004</v>
      </c>
      <c r="L403" s="3">
        <v>4.9800000000000004</v>
      </c>
      <c r="M403" s="3">
        <v>2</v>
      </c>
      <c r="N403" s="3">
        <v>1</v>
      </c>
      <c r="O403" s="3">
        <f>M403*N403</f>
        <v>2</v>
      </c>
    </row>
    <row r="404" spans="1:15" hidden="1">
      <c r="A404" s="3">
        <v>68221</v>
      </c>
      <c r="B404" s="3" t="s">
        <v>451</v>
      </c>
      <c r="C404" s="3" t="s">
        <v>449</v>
      </c>
      <c r="D404" s="3">
        <v>-34.870800000000003</v>
      </c>
      <c r="E404" s="3">
        <v>150.63329999999999</v>
      </c>
      <c r="F404" s="3" t="s">
        <v>17</v>
      </c>
      <c r="G404" s="3" t="s">
        <v>18</v>
      </c>
      <c r="H404" s="3">
        <v>3.59</v>
      </c>
      <c r="J404" s="3">
        <v>3.63</v>
      </c>
      <c r="K404" s="3">
        <v>3.75</v>
      </c>
      <c r="L404" s="3">
        <v>3.98</v>
      </c>
      <c r="M404" s="3">
        <v>2</v>
      </c>
      <c r="N404" s="3">
        <v>1</v>
      </c>
      <c r="O404" s="3">
        <f>M404*N404</f>
        <v>2</v>
      </c>
    </row>
    <row r="405" spans="1:15" hidden="1">
      <c r="A405" s="3">
        <v>68232</v>
      </c>
      <c r="B405" s="3" t="s">
        <v>452</v>
      </c>
      <c r="C405" s="3" t="s">
        <v>449</v>
      </c>
      <c r="D405" s="3">
        <v>-34.8217</v>
      </c>
      <c r="E405" s="3">
        <v>150.18170000000001</v>
      </c>
      <c r="F405" s="3" t="s">
        <v>17</v>
      </c>
      <c r="G405" s="3" t="s">
        <v>18</v>
      </c>
      <c r="H405" s="3">
        <v>239.07</v>
      </c>
      <c r="M405" s="3">
        <v>1</v>
      </c>
      <c r="N405" s="3">
        <v>1</v>
      </c>
      <c r="O405" s="3">
        <f>M405*N405</f>
        <v>1</v>
      </c>
    </row>
    <row r="406" spans="1:15" hidden="1">
      <c r="A406" s="3">
        <v>68233</v>
      </c>
      <c r="B406" s="3" t="s">
        <v>453</v>
      </c>
      <c r="C406" s="3" t="s">
        <v>449</v>
      </c>
      <c r="D406" s="3">
        <v>-34.844999999999999</v>
      </c>
      <c r="E406" s="3">
        <v>150.43199999999999</v>
      </c>
      <c r="F406" s="3" t="s">
        <v>17</v>
      </c>
      <c r="G406" s="3" t="s">
        <v>21</v>
      </c>
      <c r="H406" s="3">
        <v>28.18</v>
      </c>
      <c r="M406" s="3">
        <v>1</v>
      </c>
      <c r="N406" s="3">
        <v>1</v>
      </c>
      <c r="O406" s="3">
        <f>M406*N406</f>
        <v>1</v>
      </c>
    </row>
    <row r="407" spans="1:15" hidden="1">
      <c r="A407" s="3">
        <v>70335</v>
      </c>
      <c r="B407" s="3" t="s">
        <v>454</v>
      </c>
      <c r="C407" s="3" t="s">
        <v>449</v>
      </c>
      <c r="D407" s="3">
        <v>-35.200000000000003</v>
      </c>
      <c r="E407" s="3">
        <v>149.95500000000001</v>
      </c>
      <c r="F407" s="3" t="s">
        <v>17</v>
      </c>
      <c r="G407" s="3" t="s">
        <v>21</v>
      </c>
      <c r="H407" s="3">
        <v>581.19000000000005</v>
      </c>
      <c r="M407" s="3">
        <v>1</v>
      </c>
      <c r="N407" s="3">
        <v>1</v>
      </c>
      <c r="O407" s="3">
        <f>M407*N407</f>
        <v>1</v>
      </c>
    </row>
    <row r="408" spans="1:15" hidden="1">
      <c r="A408" s="3">
        <v>568159</v>
      </c>
      <c r="B408" s="3" t="s">
        <v>455</v>
      </c>
      <c r="C408" s="3" t="s">
        <v>449</v>
      </c>
      <c r="D408" s="3">
        <v>-34.920999999999999</v>
      </c>
      <c r="E408" s="3">
        <v>150.3853</v>
      </c>
      <c r="F408" s="3" t="s">
        <v>17</v>
      </c>
      <c r="G408" s="3" t="s">
        <v>18</v>
      </c>
      <c r="H408" s="3">
        <v>87.42</v>
      </c>
      <c r="M408" s="3">
        <v>1</v>
      </c>
      <c r="N408" s="3">
        <v>1</v>
      </c>
      <c r="O408" s="3">
        <f>M408*N408</f>
        <v>1</v>
      </c>
    </row>
    <row r="409" spans="1:15" hidden="1">
      <c r="A409" s="3">
        <v>569010</v>
      </c>
      <c r="B409" s="3" t="s">
        <v>456</v>
      </c>
      <c r="C409" s="3" t="s">
        <v>449</v>
      </c>
      <c r="D409" s="3">
        <v>-35.4236</v>
      </c>
      <c r="E409" s="3">
        <v>149.93469999999999</v>
      </c>
      <c r="F409" s="3" t="s">
        <v>17</v>
      </c>
      <c r="G409" s="3" t="s">
        <v>18</v>
      </c>
      <c r="H409" s="3">
        <v>639.64</v>
      </c>
      <c r="K409" s="3">
        <v>639.76</v>
      </c>
      <c r="L409" s="3">
        <v>639.84</v>
      </c>
      <c r="M409" s="3">
        <v>1</v>
      </c>
      <c r="N409" s="3">
        <v>1</v>
      </c>
      <c r="O409" s="3">
        <f>M409*N409</f>
        <v>1</v>
      </c>
    </row>
    <row r="410" spans="1:15" hidden="1">
      <c r="A410" s="3">
        <v>569019</v>
      </c>
      <c r="B410" s="3" t="s">
        <v>457</v>
      </c>
      <c r="C410" s="3" t="s">
        <v>449</v>
      </c>
      <c r="D410" s="3">
        <v>-35.454999999999998</v>
      </c>
      <c r="E410" s="3">
        <v>149.72499999999999</v>
      </c>
      <c r="F410" s="3" t="s">
        <v>17</v>
      </c>
      <c r="G410" s="3" t="s">
        <v>21</v>
      </c>
      <c r="H410" s="3">
        <v>657.33</v>
      </c>
      <c r="M410" s="3">
        <v>1</v>
      </c>
      <c r="N410" s="3">
        <v>1</v>
      </c>
      <c r="O410" s="3">
        <f>M410*N410</f>
        <v>1</v>
      </c>
    </row>
    <row r="411" spans="1:15" hidden="1">
      <c r="A411" s="3">
        <v>570037</v>
      </c>
      <c r="B411" s="3" t="s">
        <v>458</v>
      </c>
      <c r="C411" s="3" t="s">
        <v>449</v>
      </c>
      <c r="D411" s="3">
        <v>-35.341299999999997</v>
      </c>
      <c r="E411" s="3">
        <v>149.7372</v>
      </c>
      <c r="F411" s="3" t="s">
        <v>17</v>
      </c>
      <c r="G411" s="3" t="s">
        <v>18</v>
      </c>
      <c r="H411" s="3">
        <v>606.03</v>
      </c>
      <c r="J411" s="3">
        <v>606.48</v>
      </c>
      <c r="K411" s="3">
        <v>607.22</v>
      </c>
      <c r="L411" s="3">
        <v>608.25</v>
      </c>
      <c r="M411" s="3">
        <v>1</v>
      </c>
      <c r="N411" s="3">
        <v>1</v>
      </c>
      <c r="O411" s="3">
        <f>M411*N411</f>
        <v>1</v>
      </c>
    </row>
    <row r="412" spans="1:15" hidden="1">
      <c r="A412" s="3">
        <v>70008</v>
      </c>
      <c r="B412" s="3" t="s">
        <v>459</v>
      </c>
      <c r="C412" s="3" t="s">
        <v>460</v>
      </c>
      <c r="D412" s="3">
        <v>-36.8414</v>
      </c>
      <c r="E412" s="3">
        <v>148.9314</v>
      </c>
      <c r="F412" s="3" t="s">
        <v>305</v>
      </c>
      <c r="G412" s="3" t="s">
        <v>21</v>
      </c>
      <c r="H412" s="3">
        <v>535.04999999999995</v>
      </c>
      <c r="M412" s="3">
        <v>1</v>
      </c>
      <c r="N412" s="3">
        <v>1</v>
      </c>
      <c r="O412" s="3">
        <f>M412*N412</f>
        <v>1</v>
      </c>
    </row>
    <row r="413" spans="1:15" hidden="1">
      <c r="A413" s="3">
        <v>70309</v>
      </c>
      <c r="B413" s="3" t="s">
        <v>461</v>
      </c>
      <c r="C413" s="3" t="s">
        <v>460</v>
      </c>
      <c r="D413" s="3">
        <v>-36.9131</v>
      </c>
      <c r="E413" s="3">
        <v>149.03720000000001</v>
      </c>
      <c r="F413" s="3" t="s">
        <v>17</v>
      </c>
      <c r="G413" s="3" t="s">
        <v>21</v>
      </c>
      <c r="H413" s="3">
        <v>684.81</v>
      </c>
      <c r="M413" s="3">
        <v>1</v>
      </c>
      <c r="N413" s="3">
        <v>1</v>
      </c>
      <c r="O413" s="3">
        <f>M413*N413</f>
        <v>1</v>
      </c>
    </row>
    <row r="414" spans="1:15" hidden="1">
      <c r="A414" s="3">
        <v>84109</v>
      </c>
      <c r="B414" s="3" t="s">
        <v>462</v>
      </c>
      <c r="C414" s="3" t="s">
        <v>460</v>
      </c>
      <c r="D414" s="3">
        <v>-37.500599999999999</v>
      </c>
      <c r="E414" s="3">
        <v>148.27170000000001</v>
      </c>
      <c r="F414" s="3" t="s">
        <v>305</v>
      </c>
      <c r="G414" s="3" t="s">
        <v>21</v>
      </c>
      <c r="H414" s="3">
        <v>83.68</v>
      </c>
      <c r="M414" s="3">
        <v>1</v>
      </c>
      <c r="N414" s="3">
        <v>1</v>
      </c>
      <c r="O414" s="3">
        <f>M414*N414</f>
        <v>1</v>
      </c>
    </row>
    <row r="415" spans="1:15" hidden="1">
      <c r="A415" s="3">
        <v>84126</v>
      </c>
      <c r="B415" s="3" t="s">
        <v>463</v>
      </c>
      <c r="C415" s="3" t="s">
        <v>460</v>
      </c>
      <c r="D415" s="3">
        <v>-37.082999999999998</v>
      </c>
      <c r="E415" s="3">
        <v>148.41409999999999</v>
      </c>
      <c r="F415" s="3" t="s">
        <v>305</v>
      </c>
      <c r="G415" s="3" t="s">
        <v>21</v>
      </c>
      <c r="H415" s="3">
        <v>188.76</v>
      </c>
      <c r="L415" s="3">
        <v>194.45</v>
      </c>
      <c r="M415" s="3">
        <v>1</v>
      </c>
      <c r="N415" s="3">
        <v>1</v>
      </c>
      <c r="O415" s="3">
        <f>M415*N415</f>
        <v>1</v>
      </c>
    </row>
    <row r="416" spans="1:15" hidden="1">
      <c r="A416" s="3">
        <v>570020</v>
      </c>
      <c r="B416" s="3" t="s">
        <v>464</v>
      </c>
      <c r="C416" s="3" t="s">
        <v>460</v>
      </c>
      <c r="D416" s="3">
        <v>-36.878300000000003</v>
      </c>
      <c r="E416" s="3">
        <v>149.23830000000001</v>
      </c>
      <c r="F416" s="3" t="s">
        <v>17</v>
      </c>
      <c r="G416" s="3" t="s">
        <v>18</v>
      </c>
      <c r="H416" s="3">
        <v>771.03</v>
      </c>
      <c r="M416" s="3">
        <v>1</v>
      </c>
      <c r="N416" s="3">
        <v>1</v>
      </c>
      <c r="O416" s="3">
        <f>M416*N416</f>
        <v>1</v>
      </c>
    </row>
    <row r="417" spans="1:15" hidden="1">
      <c r="A417" s="3">
        <v>570056</v>
      </c>
      <c r="B417" s="3" t="s">
        <v>465</v>
      </c>
      <c r="C417" s="3" t="s">
        <v>460</v>
      </c>
      <c r="D417" s="3">
        <v>-36.655000000000001</v>
      </c>
      <c r="E417" s="3">
        <v>149.11000000000001</v>
      </c>
      <c r="F417" s="3" t="s">
        <v>305</v>
      </c>
      <c r="G417" s="3" t="s">
        <v>21</v>
      </c>
      <c r="H417" s="3">
        <v>771.77</v>
      </c>
      <c r="M417" s="3">
        <v>1</v>
      </c>
      <c r="N417" s="3">
        <v>1</v>
      </c>
      <c r="O417" s="3">
        <f>M417*N417</f>
        <v>1</v>
      </c>
    </row>
    <row r="418" spans="1:15" hidden="1">
      <c r="A418" s="3">
        <v>584003</v>
      </c>
      <c r="B418" s="3" t="s">
        <v>466</v>
      </c>
      <c r="C418" s="3" t="s">
        <v>460</v>
      </c>
      <c r="D418" s="3">
        <v>-36.955599999999997</v>
      </c>
      <c r="E418" s="3">
        <v>148.3261</v>
      </c>
      <c r="F418" s="3" t="s">
        <v>305</v>
      </c>
      <c r="G418" s="3" t="s">
        <v>18</v>
      </c>
      <c r="H418" s="3">
        <v>383.77</v>
      </c>
      <c r="M418" s="3">
        <v>1</v>
      </c>
      <c r="N418" s="3">
        <v>1</v>
      </c>
      <c r="O418" s="3">
        <f>M418*N418</f>
        <v>1</v>
      </c>
    </row>
    <row r="419" spans="1:15" hidden="1">
      <c r="A419" s="3">
        <v>584004</v>
      </c>
      <c r="B419" s="3" t="s">
        <v>467</v>
      </c>
      <c r="C419" s="3" t="s">
        <v>460</v>
      </c>
      <c r="D419" s="3">
        <v>-37.6633</v>
      </c>
      <c r="E419" s="3">
        <v>148.36000000000001</v>
      </c>
      <c r="F419" s="3" t="s">
        <v>305</v>
      </c>
      <c r="G419" s="3" t="s">
        <v>18</v>
      </c>
      <c r="H419" s="3">
        <v>41.01</v>
      </c>
      <c r="M419" s="3">
        <v>2</v>
      </c>
      <c r="N419" s="3">
        <v>1</v>
      </c>
      <c r="O419" s="3">
        <f>M419*N419</f>
        <v>2</v>
      </c>
    </row>
    <row r="420" spans="1:15" hidden="1">
      <c r="A420" s="3">
        <v>584011</v>
      </c>
      <c r="B420" s="3" t="s">
        <v>468</v>
      </c>
      <c r="C420" s="3" t="s">
        <v>460</v>
      </c>
      <c r="D420" s="3">
        <v>-37.7089</v>
      </c>
      <c r="E420" s="3">
        <v>148.44970000000001</v>
      </c>
      <c r="F420" s="3" t="s">
        <v>305</v>
      </c>
      <c r="G420" s="3" t="s">
        <v>18</v>
      </c>
      <c r="H420" s="3">
        <v>7.15</v>
      </c>
      <c r="I420" s="3">
        <v>7.55</v>
      </c>
      <c r="J420" s="3">
        <v>7.8</v>
      </c>
      <c r="K420" s="3">
        <v>8.09</v>
      </c>
      <c r="L420" s="3">
        <v>8.4600000000000009</v>
      </c>
      <c r="M420" s="3">
        <v>2</v>
      </c>
      <c r="N420" s="3">
        <v>1</v>
      </c>
      <c r="O420" s="3">
        <v>2</v>
      </c>
    </row>
    <row r="421" spans="1:15" hidden="1">
      <c r="A421" s="3">
        <v>584020</v>
      </c>
      <c r="B421" s="3" t="s">
        <v>469</v>
      </c>
      <c r="C421" s="3" t="s">
        <v>460</v>
      </c>
      <c r="D421" s="3">
        <v>-37.497500000000002</v>
      </c>
      <c r="E421" s="3">
        <v>148.17189999999999</v>
      </c>
      <c r="F421" s="3" t="s">
        <v>305</v>
      </c>
      <c r="G421" s="3" t="s">
        <v>21</v>
      </c>
      <c r="H421" s="3">
        <v>110</v>
      </c>
      <c r="M421" s="3">
        <v>1</v>
      </c>
      <c r="N421" s="3">
        <v>1</v>
      </c>
      <c r="O421" s="3">
        <f>M421*N421</f>
        <v>1</v>
      </c>
    </row>
    <row r="422" spans="1:15" hidden="1">
      <c r="A422" s="3">
        <v>584027</v>
      </c>
      <c r="B422" s="3" t="s">
        <v>470</v>
      </c>
      <c r="C422" s="3" t="s">
        <v>460</v>
      </c>
      <c r="D422" s="3">
        <v>-37.506700000000002</v>
      </c>
      <c r="E422" s="3">
        <v>148.5369</v>
      </c>
      <c r="F422" s="3" t="s">
        <v>305</v>
      </c>
      <c r="G422" s="3" t="s">
        <v>18</v>
      </c>
      <c r="H422" s="3">
        <v>123.7</v>
      </c>
      <c r="L422" s="3">
        <v>123.8</v>
      </c>
      <c r="M422" s="3">
        <v>1</v>
      </c>
      <c r="N422" s="3">
        <v>1</v>
      </c>
      <c r="O422" s="3">
        <f>M422*N422</f>
        <v>1</v>
      </c>
    </row>
    <row r="423" spans="1:15">
      <c r="A423" s="3">
        <v>66168</v>
      </c>
      <c r="B423" s="3" t="s">
        <v>471</v>
      </c>
      <c r="C423" s="3" t="s">
        <v>472</v>
      </c>
      <c r="D423" s="3">
        <v>-33.928899999999999</v>
      </c>
      <c r="E423" s="3">
        <v>150.98310000000001</v>
      </c>
      <c r="F423" s="3" t="s">
        <v>17</v>
      </c>
      <c r="G423" s="3" t="s">
        <v>21</v>
      </c>
      <c r="H423" s="3">
        <v>3.5</v>
      </c>
      <c r="I423" s="3">
        <v>5.9</v>
      </c>
      <c r="J423" s="3">
        <v>6.55</v>
      </c>
      <c r="K423" s="3">
        <v>7.29</v>
      </c>
      <c r="L423" s="3">
        <v>8.06</v>
      </c>
      <c r="M423" s="3">
        <v>3</v>
      </c>
      <c r="N423" s="3">
        <v>3</v>
      </c>
      <c r="O423" s="3">
        <v>9</v>
      </c>
    </row>
    <row r="424" spans="1:15">
      <c r="A424" s="3">
        <v>68070</v>
      </c>
      <c r="B424" s="3" t="s">
        <v>473</v>
      </c>
      <c r="C424" s="3" t="s">
        <v>472</v>
      </c>
      <c r="D424" s="3">
        <v>-34.116700000000002</v>
      </c>
      <c r="E424" s="3">
        <v>150.9333</v>
      </c>
      <c r="F424" s="3" t="s">
        <v>17</v>
      </c>
      <c r="G424" s="3" t="s">
        <v>18</v>
      </c>
      <c r="H424" s="3">
        <v>164.44</v>
      </c>
      <c r="I424" s="3">
        <v>165.71</v>
      </c>
      <c r="J424" s="3">
        <v>165.88</v>
      </c>
      <c r="K424" s="3">
        <v>166.09</v>
      </c>
      <c r="L424" s="3">
        <v>166.32</v>
      </c>
      <c r="M424" s="3">
        <v>3</v>
      </c>
      <c r="N424" s="3">
        <v>3</v>
      </c>
      <c r="O424" s="3">
        <v>9</v>
      </c>
    </row>
    <row r="425" spans="1:15">
      <c r="A425" s="3">
        <v>566007</v>
      </c>
      <c r="B425" s="3" t="s">
        <v>474</v>
      </c>
      <c r="C425" s="3" t="s">
        <v>472</v>
      </c>
      <c r="D425" s="3">
        <v>-33.915300000000002</v>
      </c>
      <c r="E425" s="3">
        <v>151.1165</v>
      </c>
      <c r="F425" s="3" t="s">
        <v>17</v>
      </c>
      <c r="G425" s="3" t="s">
        <v>18</v>
      </c>
      <c r="H425" s="3">
        <v>10.78</v>
      </c>
      <c r="M425" s="3">
        <v>3</v>
      </c>
      <c r="N425" s="3">
        <v>1</v>
      </c>
      <c r="O425" s="3">
        <f>M425*N425</f>
        <v>3</v>
      </c>
    </row>
    <row r="426" spans="1:15">
      <c r="A426" s="3">
        <v>566011</v>
      </c>
      <c r="B426" s="3" t="s">
        <v>475</v>
      </c>
      <c r="C426" s="3" t="s">
        <v>472</v>
      </c>
      <c r="D426" s="3">
        <v>-33.9833</v>
      </c>
      <c r="E426" s="3">
        <v>151</v>
      </c>
      <c r="F426" s="3" t="s">
        <v>17</v>
      </c>
      <c r="G426" s="3" t="s">
        <v>18</v>
      </c>
      <c r="H426" s="3">
        <v>2.19</v>
      </c>
      <c r="I426" s="3">
        <v>8.48</v>
      </c>
      <c r="J426" s="3">
        <v>9.2200000000000006</v>
      </c>
      <c r="K426" s="3">
        <v>10.050000000000001</v>
      </c>
      <c r="L426" s="3">
        <v>10.98</v>
      </c>
      <c r="M426" s="3">
        <v>3</v>
      </c>
      <c r="N426" s="3">
        <v>2</v>
      </c>
      <c r="O426" s="3">
        <v>6</v>
      </c>
    </row>
    <row r="427" spans="1:15">
      <c r="A427" s="3">
        <v>566012</v>
      </c>
      <c r="B427" s="3" t="s">
        <v>476</v>
      </c>
      <c r="C427" s="3" t="s">
        <v>472</v>
      </c>
      <c r="D427" s="3">
        <v>-33.928800000000003</v>
      </c>
      <c r="E427" s="3">
        <v>151.15649999999999</v>
      </c>
      <c r="F427" s="3" t="s">
        <v>17</v>
      </c>
      <c r="G427" s="3" t="s">
        <v>18</v>
      </c>
      <c r="H427" s="3">
        <v>-0.32</v>
      </c>
      <c r="I427" s="3">
        <v>3.37</v>
      </c>
      <c r="J427" s="3">
        <v>3.64</v>
      </c>
      <c r="K427" s="3">
        <v>3.93</v>
      </c>
      <c r="L427" s="3">
        <v>4.25</v>
      </c>
      <c r="M427" s="3">
        <v>3</v>
      </c>
      <c r="N427" s="3">
        <v>3</v>
      </c>
      <c r="O427" s="3">
        <v>9</v>
      </c>
    </row>
    <row r="428" spans="1:15">
      <c r="A428" s="3">
        <v>566013</v>
      </c>
      <c r="B428" s="3" t="s">
        <v>477</v>
      </c>
      <c r="C428" s="3" t="s">
        <v>472</v>
      </c>
      <c r="D428" s="3">
        <v>-33.9221</v>
      </c>
      <c r="E428" s="3">
        <v>150.93539999999999</v>
      </c>
      <c r="F428" s="3" t="s">
        <v>17</v>
      </c>
      <c r="G428" s="3" t="s">
        <v>21</v>
      </c>
      <c r="H428" s="3">
        <v>5.0999999999999996</v>
      </c>
      <c r="I428" s="3">
        <v>8.24</v>
      </c>
      <c r="J428" s="3">
        <v>9.02</v>
      </c>
      <c r="K428" s="3">
        <v>9.73</v>
      </c>
      <c r="L428" s="3">
        <v>10.37</v>
      </c>
      <c r="M428" s="3">
        <v>3</v>
      </c>
      <c r="N428" s="3">
        <v>3</v>
      </c>
      <c r="O428" s="3">
        <v>9</v>
      </c>
    </row>
    <row r="429" spans="1:15">
      <c r="A429" s="3">
        <v>566014</v>
      </c>
      <c r="B429" s="3" t="s">
        <v>478</v>
      </c>
      <c r="C429" s="3" t="s">
        <v>472</v>
      </c>
      <c r="D429" s="3">
        <v>-33.9</v>
      </c>
      <c r="E429" s="3">
        <v>150.94999999999999</v>
      </c>
      <c r="F429" s="3" t="s">
        <v>17</v>
      </c>
      <c r="G429" s="3" t="s">
        <v>18</v>
      </c>
      <c r="H429" s="3">
        <v>11.96</v>
      </c>
      <c r="M429" s="3">
        <v>3</v>
      </c>
      <c r="N429" s="3">
        <v>1</v>
      </c>
      <c r="O429" s="3">
        <f>M429*N429</f>
        <v>3</v>
      </c>
    </row>
    <row r="430" spans="1:15">
      <c r="A430" s="3">
        <v>566045</v>
      </c>
      <c r="B430" s="3" t="s">
        <v>479</v>
      </c>
      <c r="C430" s="3" t="s">
        <v>472</v>
      </c>
      <c r="D430" s="3">
        <v>-34.020899999999997</v>
      </c>
      <c r="E430" s="3">
        <v>151.04990000000001</v>
      </c>
      <c r="F430" s="3" t="s">
        <v>17</v>
      </c>
      <c r="G430" s="3" t="s">
        <v>18</v>
      </c>
      <c r="H430" s="3">
        <v>1.5</v>
      </c>
      <c r="I430" s="3">
        <v>4.4400000000000004</v>
      </c>
      <c r="J430" s="3">
        <v>4.92</v>
      </c>
      <c r="K430" s="3">
        <v>5.52</v>
      </c>
      <c r="L430" s="3">
        <v>6.17</v>
      </c>
      <c r="M430" s="3">
        <v>3</v>
      </c>
      <c r="N430" s="3">
        <v>3</v>
      </c>
      <c r="O430" s="3">
        <v>9</v>
      </c>
    </row>
    <row r="431" spans="1:15">
      <c r="A431" s="3">
        <v>566054</v>
      </c>
      <c r="B431" s="3" t="s">
        <v>480</v>
      </c>
      <c r="C431" s="3" t="s">
        <v>472</v>
      </c>
      <c r="D431" s="3">
        <v>-33.926699999999997</v>
      </c>
      <c r="E431" s="3">
        <v>150.91720000000001</v>
      </c>
      <c r="F431" s="3" t="s">
        <v>17</v>
      </c>
      <c r="G431" s="3" t="s">
        <v>18</v>
      </c>
      <c r="H431" s="3">
        <v>26.05</v>
      </c>
      <c r="M431" s="3">
        <v>3</v>
      </c>
      <c r="N431" s="3">
        <v>1</v>
      </c>
      <c r="O431" s="3">
        <f>M431*N431</f>
        <v>3</v>
      </c>
    </row>
    <row r="432" spans="1:15">
      <c r="A432" s="3">
        <v>566062</v>
      </c>
      <c r="B432" s="3" t="s">
        <v>481</v>
      </c>
      <c r="C432" s="3" t="s">
        <v>472</v>
      </c>
      <c r="D432" s="3">
        <v>-34.0486</v>
      </c>
      <c r="E432" s="3">
        <v>151.0042</v>
      </c>
      <c r="F432" s="3" t="s">
        <v>17</v>
      </c>
      <c r="G432" s="3" t="s">
        <v>18</v>
      </c>
      <c r="H432" s="3">
        <v>44.32</v>
      </c>
      <c r="M432" s="3">
        <v>3</v>
      </c>
      <c r="N432" s="3">
        <v>1</v>
      </c>
      <c r="O432" s="3">
        <f>M432*N432</f>
        <v>3</v>
      </c>
    </row>
    <row r="433" spans="1:15">
      <c r="A433" s="3">
        <v>566072</v>
      </c>
      <c r="B433" s="3" t="s">
        <v>482</v>
      </c>
      <c r="C433" s="3" t="s">
        <v>472</v>
      </c>
      <c r="D433" s="3">
        <v>-34.009</v>
      </c>
      <c r="E433" s="3">
        <v>150.88720000000001</v>
      </c>
      <c r="F433" s="3" t="s">
        <v>17</v>
      </c>
      <c r="G433" s="3" t="s">
        <v>18</v>
      </c>
      <c r="H433" s="3">
        <v>38.85</v>
      </c>
      <c r="I433" s="3">
        <v>39.07</v>
      </c>
      <c r="J433" s="3">
        <v>39.07</v>
      </c>
      <c r="K433" s="3">
        <v>39.07</v>
      </c>
      <c r="L433" s="3">
        <v>39.07</v>
      </c>
      <c r="M433" s="3">
        <v>3</v>
      </c>
      <c r="N433" s="3">
        <v>1</v>
      </c>
      <c r="O433" s="3">
        <v>3</v>
      </c>
    </row>
    <row r="434" spans="1:15">
      <c r="A434" s="3">
        <v>566082</v>
      </c>
      <c r="B434" s="3" t="s">
        <v>483</v>
      </c>
      <c r="C434" s="3" t="s">
        <v>472</v>
      </c>
      <c r="D434" s="3">
        <v>-34.025300000000001</v>
      </c>
      <c r="E434" s="3">
        <v>150.88640000000001</v>
      </c>
      <c r="F434" s="3" t="s">
        <v>17</v>
      </c>
      <c r="G434" s="3" t="s">
        <v>18</v>
      </c>
      <c r="H434" s="3">
        <v>15.42</v>
      </c>
      <c r="I434" s="3">
        <v>27.11</v>
      </c>
      <c r="J434" s="3">
        <v>29.06</v>
      </c>
      <c r="K434" s="3">
        <v>29.49</v>
      </c>
      <c r="L434" s="3">
        <v>29.49</v>
      </c>
      <c r="M434" s="3">
        <v>3</v>
      </c>
      <c r="N434" s="3">
        <v>1</v>
      </c>
      <c r="O434" s="3">
        <v>3</v>
      </c>
    </row>
    <row r="435" spans="1:15">
      <c r="A435" s="3">
        <v>567041</v>
      </c>
      <c r="B435" s="3" t="s">
        <v>484</v>
      </c>
      <c r="C435" s="3" t="s">
        <v>472</v>
      </c>
      <c r="D435" s="3">
        <v>-33.851900000000001</v>
      </c>
      <c r="E435" s="3">
        <v>150.94829999999999</v>
      </c>
      <c r="F435" s="3" t="s">
        <v>17</v>
      </c>
      <c r="G435" s="3" t="s">
        <v>18</v>
      </c>
      <c r="H435" s="3">
        <v>18.260000000000002</v>
      </c>
      <c r="I435" s="3">
        <v>18.420000000000002</v>
      </c>
      <c r="J435" s="3">
        <v>18.48</v>
      </c>
      <c r="K435" s="3">
        <v>18.59</v>
      </c>
      <c r="L435" s="3">
        <v>18.79</v>
      </c>
      <c r="M435" s="3">
        <v>3</v>
      </c>
      <c r="N435" s="3">
        <v>2</v>
      </c>
      <c r="O435" s="3">
        <v>6</v>
      </c>
    </row>
    <row r="436" spans="1:15">
      <c r="A436" s="3">
        <v>567060</v>
      </c>
      <c r="B436" s="3" t="s">
        <v>485</v>
      </c>
      <c r="C436" s="3" t="s">
        <v>472</v>
      </c>
      <c r="D436" s="3">
        <v>-33.954799999999999</v>
      </c>
      <c r="E436" s="3">
        <v>150.9847</v>
      </c>
      <c r="F436" s="3" t="s">
        <v>17</v>
      </c>
      <c r="G436" s="3" t="s">
        <v>18</v>
      </c>
      <c r="H436" s="3">
        <v>4.4800000000000004</v>
      </c>
      <c r="I436" s="3">
        <v>9.1300000000000008</v>
      </c>
      <c r="J436" s="3">
        <v>9.8000000000000007</v>
      </c>
      <c r="K436" s="3">
        <v>10.59</v>
      </c>
      <c r="L436" s="3">
        <v>11.43</v>
      </c>
      <c r="M436" s="3">
        <v>3</v>
      </c>
      <c r="N436" s="3">
        <v>2</v>
      </c>
      <c r="O436" s="3">
        <v>6</v>
      </c>
    </row>
    <row r="437" spans="1:15">
      <c r="A437" s="3">
        <v>567061</v>
      </c>
      <c r="B437" s="3" t="s">
        <v>486</v>
      </c>
      <c r="C437" s="3" t="s">
        <v>472</v>
      </c>
      <c r="D437" s="3">
        <v>-33.904699999999998</v>
      </c>
      <c r="E437" s="3">
        <v>150.94319999999999</v>
      </c>
      <c r="F437" s="3" t="s">
        <v>17</v>
      </c>
      <c r="G437" s="3" t="s">
        <v>18</v>
      </c>
      <c r="H437" s="3">
        <v>2.2000000000000002</v>
      </c>
      <c r="I437" s="3">
        <v>6.75</v>
      </c>
      <c r="J437" s="3">
        <v>7.31</v>
      </c>
      <c r="K437" s="3">
        <v>7.92</v>
      </c>
      <c r="L437" s="3">
        <v>8.51</v>
      </c>
      <c r="M437" s="3">
        <v>3</v>
      </c>
      <c r="N437" s="3">
        <v>3</v>
      </c>
      <c r="O437" s="3">
        <v>9</v>
      </c>
    </row>
    <row r="438" spans="1:15">
      <c r="A438" s="3">
        <v>567067</v>
      </c>
      <c r="B438" s="3" t="s">
        <v>487</v>
      </c>
      <c r="C438" s="3" t="s">
        <v>472</v>
      </c>
      <c r="D438" s="3">
        <v>-33.8917</v>
      </c>
      <c r="E438" s="3">
        <v>150.9633</v>
      </c>
      <c r="F438" s="3" t="s">
        <v>17</v>
      </c>
      <c r="G438" s="3" t="s">
        <v>18</v>
      </c>
      <c r="H438" s="3">
        <v>4.78</v>
      </c>
      <c r="I438" s="3">
        <v>7.06</v>
      </c>
      <c r="J438" s="3">
        <v>7.66</v>
      </c>
      <c r="K438" s="3">
        <v>8.3000000000000007</v>
      </c>
      <c r="L438" s="3">
        <v>8.91</v>
      </c>
      <c r="M438" s="3">
        <v>3</v>
      </c>
      <c r="N438" s="3">
        <v>3</v>
      </c>
      <c r="O438" s="3">
        <v>9</v>
      </c>
    </row>
    <row r="439" spans="1:15">
      <c r="A439" s="3">
        <v>567080</v>
      </c>
      <c r="B439" s="3" t="s">
        <v>488</v>
      </c>
      <c r="C439" s="3" t="s">
        <v>472</v>
      </c>
      <c r="D439" s="3">
        <v>-33.903599999999997</v>
      </c>
      <c r="E439" s="3">
        <v>150.9178</v>
      </c>
      <c r="F439" s="3" t="s">
        <v>17</v>
      </c>
      <c r="G439" s="3" t="s">
        <v>18</v>
      </c>
      <c r="H439" s="3">
        <v>12.26</v>
      </c>
      <c r="I439" s="3">
        <v>12.7</v>
      </c>
      <c r="J439" s="3">
        <v>12.7</v>
      </c>
      <c r="K439" s="3">
        <v>12.7</v>
      </c>
      <c r="L439" s="3">
        <v>12.84</v>
      </c>
      <c r="M439" s="3">
        <v>3</v>
      </c>
      <c r="N439" s="3">
        <v>2</v>
      </c>
      <c r="O439" s="3">
        <v>6</v>
      </c>
    </row>
    <row r="440" spans="1:15">
      <c r="A440" s="3">
        <v>567088</v>
      </c>
      <c r="B440" s="3" t="s">
        <v>489</v>
      </c>
      <c r="C440" s="3" t="s">
        <v>472</v>
      </c>
      <c r="D440" s="3">
        <v>-33.978299999999997</v>
      </c>
      <c r="E440" s="3">
        <v>150.88720000000001</v>
      </c>
      <c r="F440" s="3" t="s">
        <v>17</v>
      </c>
      <c r="G440" s="3" t="s">
        <v>18</v>
      </c>
      <c r="H440" s="3">
        <v>18.02</v>
      </c>
      <c r="I440" s="3">
        <v>21.22</v>
      </c>
      <c r="J440" s="3">
        <v>21.86</v>
      </c>
      <c r="K440" s="3">
        <v>22.69</v>
      </c>
      <c r="L440" s="3">
        <v>23.66</v>
      </c>
      <c r="M440" s="3">
        <v>3</v>
      </c>
      <c r="N440" s="3">
        <v>3</v>
      </c>
      <c r="O440" s="3">
        <v>9</v>
      </c>
    </row>
    <row r="441" spans="1:15">
      <c r="A441" s="3">
        <v>567089</v>
      </c>
      <c r="B441" s="3" t="s">
        <v>490</v>
      </c>
      <c r="C441" s="3" t="s">
        <v>472</v>
      </c>
      <c r="D441" s="3">
        <v>-33.881599999999999</v>
      </c>
      <c r="E441" s="3">
        <v>150.9375</v>
      </c>
      <c r="F441" s="3" t="s">
        <v>17</v>
      </c>
      <c r="G441" s="3" t="s">
        <v>18</v>
      </c>
      <c r="H441" s="3">
        <v>11.37</v>
      </c>
      <c r="I441" s="3">
        <v>12.03</v>
      </c>
      <c r="J441" s="3">
        <v>12.2</v>
      </c>
      <c r="K441" s="3">
        <v>12.4</v>
      </c>
      <c r="L441" s="3">
        <v>12.63</v>
      </c>
      <c r="M441" s="3">
        <v>3</v>
      </c>
      <c r="N441" s="3">
        <v>3</v>
      </c>
      <c r="O441" s="3">
        <v>9</v>
      </c>
    </row>
    <row r="442" spans="1:15">
      <c r="A442" s="3">
        <v>568145</v>
      </c>
      <c r="B442" s="3" t="s">
        <v>491</v>
      </c>
      <c r="C442" s="3" t="s">
        <v>472</v>
      </c>
      <c r="D442" s="3">
        <v>-34.028100000000002</v>
      </c>
      <c r="E442" s="3">
        <v>150.8364</v>
      </c>
      <c r="F442" s="3" t="s">
        <v>17</v>
      </c>
      <c r="G442" s="3" t="s">
        <v>18</v>
      </c>
      <c r="H442" s="3">
        <v>38.6</v>
      </c>
      <c r="I442" s="3">
        <v>42.58</v>
      </c>
      <c r="J442" s="3">
        <v>42.86</v>
      </c>
      <c r="K442" s="3">
        <v>43.21</v>
      </c>
      <c r="L442" s="3">
        <v>43.61</v>
      </c>
      <c r="M442" s="3">
        <v>3</v>
      </c>
      <c r="N442" s="3">
        <v>3</v>
      </c>
      <c r="O442" s="3">
        <v>9</v>
      </c>
    </row>
    <row r="443" spans="1:15">
      <c r="A443" s="3">
        <v>58011</v>
      </c>
      <c r="B443" s="3" t="s">
        <v>492</v>
      </c>
      <c r="C443" s="3" t="s">
        <v>493</v>
      </c>
      <c r="D443" s="3">
        <v>-28.313199999999998</v>
      </c>
      <c r="E443" s="3">
        <v>153.27590000000001</v>
      </c>
      <c r="F443" s="3" t="s">
        <v>17</v>
      </c>
      <c r="G443" s="3" t="s">
        <v>21</v>
      </c>
      <c r="H443" s="3">
        <v>30.77</v>
      </c>
      <c r="J443" s="3">
        <v>30.81</v>
      </c>
      <c r="K443" s="3">
        <v>31</v>
      </c>
      <c r="L443" s="3">
        <v>31.17</v>
      </c>
      <c r="M443" s="3">
        <v>3</v>
      </c>
      <c r="N443" s="3">
        <v>1</v>
      </c>
      <c r="O443" s="3">
        <f>M443*N443</f>
        <v>3</v>
      </c>
    </row>
    <row r="444" spans="1:15">
      <c r="A444" s="3">
        <v>58167</v>
      </c>
      <c r="B444" s="3" t="s">
        <v>494</v>
      </c>
      <c r="C444" s="3" t="s">
        <v>493</v>
      </c>
      <c r="D444" s="3">
        <v>-28.4147</v>
      </c>
      <c r="E444" s="3">
        <v>153.3339</v>
      </c>
      <c r="F444" s="3" t="s">
        <v>17</v>
      </c>
      <c r="G444" s="3" t="s">
        <v>21</v>
      </c>
      <c r="H444" s="3">
        <v>15.56</v>
      </c>
      <c r="I444" s="3">
        <v>17.43</v>
      </c>
      <c r="J444" s="3">
        <v>17.690000000000001</v>
      </c>
      <c r="K444" s="3">
        <v>17.95</v>
      </c>
      <c r="L444" s="3">
        <v>18.12</v>
      </c>
      <c r="M444" s="3">
        <v>3</v>
      </c>
      <c r="N444" s="3">
        <v>3</v>
      </c>
      <c r="O444" s="3">
        <v>9</v>
      </c>
    </row>
    <row r="445" spans="1:15">
      <c r="A445" s="3">
        <v>58186</v>
      </c>
      <c r="B445" s="3" t="s">
        <v>495</v>
      </c>
      <c r="C445" s="3" t="s">
        <v>493</v>
      </c>
      <c r="D445" s="3">
        <v>-28.327400000000001</v>
      </c>
      <c r="E445" s="3">
        <v>153.40199999999999</v>
      </c>
      <c r="F445" s="3" t="s">
        <v>17</v>
      </c>
      <c r="G445" s="3" t="s">
        <v>21</v>
      </c>
      <c r="H445" s="3">
        <v>1.8</v>
      </c>
      <c r="I445" s="3">
        <v>2.39</v>
      </c>
      <c r="J445" s="3">
        <v>2.46</v>
      </c>
      <c r="K445" s="3">
        <v>2.52</v>
      </c>
      <c r="L445" s="3">
        <v>2.57</v>
      </c>
      <c r="M445" s="3">
        <v>3</v>
      </c>
      <c r="N445" s="3">
        <v>3</v>
      </c>
      <c r="O445" s="3">
        <v>9</v>
      </c>
    </row>
    <row r="446" spans="1:15">
      <c r="A446" s="3">
        <v>58193</v>
      </c>
      <c r="B446" s="3" t="s">
        <v>496</v>
      </c>
      <c r="C446" s="3" t="s">
        <v>493</v>
      </c>
      <c r="D446" s="3">
        <v>-28.3538</v>
      </c>
      <c r="E446" s="3">
        <v>153.29300000000001</v>
      </c>
      <c r="F446" s="3" t="s">
        <v>17</v>
      </c>
      <c r="G446" s="3" t="s">
        <v>21</v>
      </c>
      <c r="H446" s="3">
        <v>18.2</v>
      </c>
      <c r="I446" s="3">
        <v>27.12</v>
      </c>
      <c r="J446" s="3">
        <v>27.51</v>
      </c>
      <c r="K446" s="3">
        <v>27.85</v>
      </c>
      <c r="L446" s="3">
        <v>28.06</v>
      </c>
      <c r="M446" s="3">
        <v>3</v>
      </c>
      <c r="N446" s="3">
        <v>2</v>
      </c>
      <c r="O446" s="3">
        <v>6</v>
      </c>
    </row>
    <row r="447" spans="1:15">
      <c r="A447" s="3">
        <v>58204</v>
      </c>
      <c r="B447" s="3" t="s">
        <v>497</v>
      </c>
      <c r="C447" s="3" t="s">
        <v>493</v>
      </c>
      <c r="D447" s="3">
        <v>-28.3217</v>
      </c>
      <c r="E447" s="3">
        <v>153.3467</v>
      </c>
      <c r="F447" s="3" t="s">
        <v>17</v>
      </c>
      <c r="G447" s="3" t="s">
        <v>498</v>
      </c>
      <c r="H447" s="3">
        <v>4.0599999999999996</v>
      </c>
      <c r="I447" s="3">
        <v>5.49</v>
      </c>
      <c r="J447" s="3">
        <v>5.6</v>
      </c>
      <c r="K447" s="3">
        <v>5.71</v>
      </c>
      <c r="L447" s="3">
        <v>5.8</v>
      </c>
      <c r="M447" s="3">
        <v>3</v>
      </c>
      <c r="N447" s="3">
        <v>3</v>
      </c>
      <c r="O447" s="3">
        <v>9</v>
      </c>
    </row>
    <row r="448" spans="1:15">
      <c r="A448" s="3">
        <v>558009</v>
      </c>
      <c r="B448" s="3" t="s">
        <v>499</v>
      </c>
      <c r="C448" s="3" t="s">
        <v>493</v>
      </c>
      <c r="D448" s="3">
        <v>-28.43</v>
      </c>
      <c r="E448" s="3">
        <v>153.315</v>
      </c>
      <c r="F448" s="3" t="s">
        <v>17</v>
      </c>
      <c r="G448" s="3" t="s">
        <v>49</v>
      </c>
      <c r="H448" s="3">
        <v>29.87</v>
      </c>
      <c r="I448" s="3">
        <v>30.14</v>
      </c>
      <c r="J448" s="3">
        <v>30.14</v>
      </c>
      <c r="K448" s="3">
        <v>30.14</v>
      </c>
      <c r="L448" s="3">
        <v>30.14</v>
      </c>
      <c r="M448" s="3">
        <v>3</v>
      </c>
      <c r="N448" s="3">
        <v>3</v>
      </c>
      <c r="O448" s="3">
        <v>9</v>
      </c>
    </row>
    <row r="449" spans="1:15">
      <c r="A449" s="3">
        <v>558010</v>
      </c>
      <c r="B449" s="3" t="s">
        <v>500</v>
      </c>
      <c r="C449" s="3" t="s">
        <v>493</v>
      </c>
      <c r="D449" s="3">
        <v>-28.231000000000002</v>
      </c>
      <c r="E449" s="3">
        <v>153.55500000000001</v>
      </c>
      <c r="F449" s="3" t="s">
        <v>17</v>
      </c>
      <c r="G449" s="3" t="s">
        <v>21</v>
      </c>
      <c r="H449" s="3">
        <v>2.12</v>
      </c>
      <c r="I449" s="3">
        <v>4.21</v>
      </c>
      <c r="J449" s="3">
        <v>4.47</v>
      </c>
      <c r="K449" s="3">
        <v>4.75</v>
      </c>
      <c r="L449" s="3">
        <v>5.0199999999999996</v>
      </c>
      <c r="M449" s="3">
        <v>3</v>
      </c>
      <c r="N449" s="3">
        <v>3</v>
      </c>
      <c r="O449" s="3">
        <v>9</v>
      </c>
    </row>
    <row r="450" spans="1:15">
      <c r="A450" s="3">
        <v>558014</v>
      </c>
      <c r="B450" s="3" t="s">
        <v>501</v>
      </c>
      <c r="C450" s="3" t="s">
        <v>493</v>
      </c>
      <c r="D450" s="3">
        <v>-28.276900000000001</v>
      </c>
      <c r="E450" s="3">
        <v>153.46080000000001</v>
      </c>
      <c r="F450" s="3" t="s">
        <v>17</v>
      </c>
      <c r="G450" s="3" t="s">
        <v>21</v>
      </c>
      <c r="H450" s="3">
        <v>2.56</v>
      </c>
      <c r="I450" s="3">
        <v>3.9</v>
      </c>
      <c r="J450" s="3">
        <v>4.01</v>
      </c>
      <c r="K450" s="3">
        <v>4.12</v>
      </c>
      <c r="L450" s="3">
        <v>4.2300000000000004</v>
      </c>
      <c r="M450" s="3">
        <v>3</v>
      </c>
      <c r="N450" s="3">
        <v>2</v>
      </c>
      <c r="O450" s="3">
        <v>6</v>
      </c>
    </row>
    <row r="451" spans="1:15">
      <c r="A451" s="3">
        <v>558018</v>
      </c>
      <c r="B451" s="3" t="s">
        <v>502</v>
      </c>
      <c r="C451" s="3" t="s">
        <v>493</v>
      </c>
      <c r="D451" s="3">
        <v>-28.434000000000001</v>
      </c>
      <c r="E451" s="3">
        <v>153.29499999999999</v>
      </c>
      <c r="F451" s="3" t="s">
        <v>17</v>
      </c>
      <c r="G451" s="3" t="s">
        <v>52</v>
      </c>
      <c r="H451" s="3">
        <v>44.37</v>
      </c>
      <c r="M451" s="3">
        <v>3</v>
      </c>
      <c r="N451" s="3">
        <v>1</v>
      </c>
      <c r="O451" s="3">
        <f>M451*N451</f>
        <v>3</v>
      </c>
    </row>
    <row r="452" spans="1:15">
      <c r="A452" s="3">
        <v>558029</v>
      </c>
      <c r="B452" s="3" t="s">
        <v>503</v>
      </c>
      <c r="C452" s="3" t="s">
        <v>493</v>
      </c>
      <c r="D452" s="3">
        <v>-28.193000000000001</v>
      </c>
      <c r="E452" s="3">
        <v>153.524</v>
      </c>
      <c r="F452" s="3" t="s">
        <v>17</v>
      </c>
      <c r="G452" s="3" t="s">
        <v>49</v>
      </c>
      <c r="H452" s="3">
        <v>-0.03</v>
      </c>
      <c r="I452" s="3">
        <v>3.7</v>
      </c>
      <c r="J452" s="3">
        <v>4</v>
      </c>
      <c r="K452" s="3">
        <v>4.34</v>
      </c>
      <c r="L452" s="3">
        <v>4.6399999999999997</v>
      </c>
      <c r="M452" s="3">
        <v>3</v>
      </c>
      <c r="N452" s="3">
        <v>3</v>
      </c>
      <c r="O452" s="3">
        <v>9</v>
      </c>
    </row>
    <row r="453" spans="1:15">
      <c r="A453" s="3">
        <v>558041</v>
      </c>
      <c r="B453" s="3" t="s">
        <v>504</v>
      </c>
      <c r="C453" s="3" t="s">
        <v>493</v>
      </c>
      <c r="D453" s="3">
        <v>-28.197299999999998</v>
      </c>
      <c r="E453" s="3">
        <v>153.56</v>
      </c>
      <c r="F453" s="3" t="s">
        <v>17</v>
      </c>
      <c r="G453" s="3" t="s">
        <v>49</v>
      </c>
      <c r="H453" s="3">
        <v>0.17</v>
      </c>
      <c r="I453" s="3">
        <v>4.62</v>
      </c>
      <c r="J453" s="3">
        <v>4.87</v>
      </c>
      <c r="K453" s="3">
        <v>5.1100000000000003</v>
      </c>
      <c r="L453" s="3">
        <v>5.33</v>
      </c>
      <c r="M453" s="3">
        <v>3</v>
      </c>
      <c r="N453" s="3">
        <v>3</v>
      </c>
      <c r="O453" s="3">
        <v>9</v>
      </c>
    </row>
    <row r="454" spans="1:15">
      <c r="A454" s="3">
        <v>558051</v>
      </c>
      <c r="B454" s="3" t="s">
        <v>505</v>
      </c>
      <c r="C454" s="3" t="s">
        <v>493</v>
      </c>
      <c r="D454" s="3">
        <v>-28.316700000000001</v>
      </c>
      <c r="E454" s="3">
        <v>153.38329999999999</v>
      </c>
      <c r="F454" s="3" t="s">
        <v>17</v>
      </c>
      <c r="G454" s="3" t="s">
        <v>175</v>
      </c>
      <c r="H454" s="3">
        <v>1.23</v>
      </c>
      <c r="I454" s="3">
        <v>3.1</v>
      </c>
      <c r="J454" s="3">
        <v>3.19</v>
      </c>
      <c r="K454" s="3">
        <v>3.27</v>
      </c>
      <c r="L454" s="3">
        <v>3.32</v>
      </c>
      <c r="M454" s="3">
        <v>3</v>
      </c>
      <c r="N454" s="3">
        <v>3</v>
      </c>
      <c r="O454" s="3">
        <v>9</v>
      </c>
    </row>
    <row r="455" spans="1:15">
      <c r="A455" s="3">
        <v>558067</v>
      </c>
      <c r="B455" s="3" t="s">
        <v>506</v>
      </c>
      <c r="C455" s="3" t="s">
        <v>493</v>
      </c>
      <c r="D455" s="3">
        <v>-28.328299999999999</v>
      </c>
      <c r="E455" s="3">
        <v>153.4</v>
      </c>
      <c r="F455" s="3" t="s">
        <v>17</v>
      </c>
      <c r="G455" s="3" t="s">
        <v>18</v>
      </c>
      <c r="H455" s="3">
        <v>-0.28000000000000003</v>
      </c>
      <c r="I455" s="3">
        <v>4.17</v>
      </c>
      <c r="J455" s="3">
        <v>4.28</v>
      </c>
      <c r="K455" s="3">
        <v>4.41</v>
      </c>
      <c r="L455" s="3">
        <v>4.53</v>
      </c>
      <c r="M455" s="3">
        <v>3</v>
      </c>
      <c r="N455" s="3">
        <v>3</v>
      </c>
      <c r="O455" s="3">
        <v>9</v>
      </c>
    </row>
    <row r="456" spans="1:15">
      <c r="A456" s="3">
        <v>558077</v>
      </c>
      <c r="B456" s="3" t="s">
        <v>507</v>
      </c>
      <c r="C456" s="3" t="s">
        <v>493</v>
      </c>
      <c r="D456" s="3">
        <v>-28.309200000000001</v>
      </c>
      <c r="E456" s="3">
        <v>153.33580000000001</v>
      </c>
      <c r="F456" s="3" t="s">
        <v>17</v>
      </c>
      <c r="G456" s="3" t="s">
        <v>18</v>
      </c>
      <c r="H456" s="3">
        <v>4.3</v>
      </c>
      <c r="I456" s="3">
        <v>8.5399999999999991</v>
      </c>
      <c r="J456" s="3">
        <v>8.6300000000000008</v>
      </c>
      <c r="K456" s="3">
        <v>8.7200000000000006</v>
      </c>
      <c r="L456" s="3">
        <v>8.7899999999999991</v>
      </c>
      <c r="M456" s="3">
        <v>3</v>
      </c>
      <c r="N456" s="3">
        <v>2</v>
      </c>
      <c r="O456" s="3">
        <v>6</v>
      </c>
    </row>
    <row r="457" spans="1:15">
      <c r="A457" s="3">
        <v>558088</v>
      </c>
      <c r="B457" s="3" t="s">
        <v>508</v>
      </c>
      <c r="C457" s="3" t="s">
        <v>493</v>
      </c>
      <c r="D457" s="3">
        <v>-28.359000000000002</v>
      </c>
      <c r="E457" s="3">
        <v>153.21</v>
      </c>
      <c r="F457" s="3" t="s">
        <v>17</v>
      </c>
      <c r="G457" s="3" t="s">
        <v>498</v>
      </c>
      <c r="H457" s="3">
        <v>52.35</v>
      </c>
      <c r="I457" s="3">
        <v>54.07</v>
      </c>
      <c r="J457" s="3">
        <v>54.44</v>
      </c>
      <c r="K457" s="3">
        <v>54.78</v>
      </c>
      <c r="L457" s="3">
        <v>55.06</v>
      </c>
      <c r="M457" s="3">
        <v>3</v>
      </c>
      <c r="N457" s="3">
        <v>3</v>
      </c>
      <c r="O457" s="3">
        <v>9</v>
      </c>
    </row>
    <row r="458" spans="1:15">
      <c r="A458" s="3">
        <v>558102</v>
      </c>
      <c r="B458" s="3" t="s">
        <v>509</v>
      </c>
      <c r="C458" s="3" t="s">
        <v>493</v>
      </c>
      <c r="D458" s="3">
        <v>-28.225000000000001</v>
      </c>
      <c r="E458" s="3">
        <v>153.55099999999999</v>
      </c>
      <c r="F458" s="3" t="s">
        <v>17</v>
      </c>
      <c r="G458" s="3" t="s">
        <v>49</v>
      </c>
      <c r="H458" s="3">
        <v>2.06</v>
      </c>
      <c r="I458" s="3">
        <v>4.3099999999999996</v>
      </c>
      <c r="J458" s="3">
        <v>4.58</v>
      </c>
      <c r="K458" s="3">
        <v>4.8600000000000003</v>
      </c>
      <c r="L458" s="3">
        <v>5.14</v>
      </c>
      <c r="M458" s="3">
        <v>3</v>
      </c>
      <c r="N458" s="3">
        <v>2</v>
      </c>
      <c r="O458" s="3">
        <v>6</v>
      </c>
    </row>
    <row r="530" spans="15:15">
      <c r="O530" s="4"/>
    </row>
  </sheetData>
  <autoFilter ref="A1:O458" xr:uid="{C313FA7C-ED16-412F-883C-FEE234F1F8FC}">
    <filterColumn colId="14">
      <filters>
        <filter val="3"/>
        <filter val="4"/>
        <filter val="6"/>
        <filter val="9"/>
      </filters>
    </filterColumn>
    <sortState xmlns:xlrd2="http://schemas.microsoft.com/office/spreadsheetml/2017/richdata2" ref="A2:O458">
      <sortCondition ref="C1:C458"/>
    </sortState>
  </autoFilter>
  <conditionalFormatting sqref="M2:M4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45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53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>
    <oddHeader>&amp;C&amp;"Calibri"&amp;10&amp;KFF0000 OFFICIAL&amp;1#_x000D_</oddHeader>
    <oddFooter>&amp;C_x000D_&amp;1#&amp;"Calibri"&amp;10&amp;KFF0000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oM Word Document" ma:contentTypeID="0x01010090F4FE4D31484F48AE8A6F9ABB06794F00E56FD4A30864BF49B2CF0DC1E8DFE682" ma:contentTypeVersion="44" ma:contentTypeDescription="BoM Document Content Type is the base content type used to control all Bureau managed word document." ma:contentTypeScope="" ma:versionID="7fa1f7c66a411f8f805a19f77211e12b">
  <xsd:schema xmlns:xsd="http://www.w3.org/2001/XMLSchema" xmlns:xs="http://www.w3.org/2001/XMLSchema" xmlns:p="http://schemas.microsoft.com/office/2006/metadata/properties" xmlns:ns2="21b13081-1bdf-44db-9f8a-1278b790a071" xmlns:ns3="1277e1a3-053e-4110-b1ac-eb9940f14a0e" xmlns:ns4="http://schemas.microsoft.com/sharepoint/v3/fields" targetNamespace="http://schemas.microsoft.com/office/2006/metadata/properties" ma:root="true" ma:fieldsID="87b3fc290f88dc53852af6344d1aac86" ns2:_="" ns3:_="" ns4:_="">
    <xsd:import namespace="21b13081-1bdf-44db-9f8a-1278b790a071"/>
    <xsd:import namespace="1277e1a3-053e-4110-b1ac-eb9940f14a0e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Category" minOccurs="0"/>
                <xsd:element ref="ns2:State" minOccurs="0"/>
                <xsd:element ref="ns2:Region_x002f_Catchment" minOccurs="0"/>
                <xsd:element ref="ns3:FileCategory" minOccurs="0"/>
                <xsd:element ref="ns3:pfa4581a01424660b23021e80c1f49c2" minOccurs="0"/>
                <xsd:element ref="ns3:TaxCatchAll" minOccurs="0"/>
                <xsd:element ref="ns3:TaxCatchAllLabel" minOccurs="0"/>
                <xsd:element ref="ns3:SiteKeyword" minOccurs="0"/>
                <xsd:element ref="ns2:Progress" minOccurs="0"/>
                <xsd:element ref="ns2:Approvedby" minOccurs="0"/>
                <xsd:element ref="ns2:LocationofProject" minOccurs="0"/>
                <xsd:element ref="ns3:FileClas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Organisation" minOccurs="0"/>
                <xsd:element ref="ns2:MediaServiceSearchProperties" minOccurs="0"/>
                <xsd:element ref="ns2:lcf76f155ced4ddcb4097134ff3c332f" minOccurs="0"/>
                <xsd:element ref="ns2:Project" minOccurs="0"/>
                <xsd:element ref="ns4:_Vers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b13081-1bdf-44db-9f8a-1278b790a071" elementFormDefault="qualified">
    <xsd:import namespace="http://schemas.microsoft.com/office/2006/documentManagement/types"/>
    <xsd:import namespace="http://schemas.microsoft.com/office/infopath/2007/PartnerControls"/>
    <xsd:element name="Category" ma:index="2" nillable="true" ma:displayName="Category" ma:default="Project Plans, Budget &amp; Resourcing" ma:format="Dropdown" ma:internalName="Category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Governance &amp; Risk"/>
                    <xsd:enumeration value="Project Plans, Budget &amp; Resourcing"/>
                    <xsd:enumeration value="Recruitment, Onboarding &amp; PDS"/>
                    <xsd:enumeration value="Policies &amp; Procedures"/>
                    <xsd:enumeration value="FWIN Program General &amp; Reporting"/>
                    <xsd:enumeration value="External Reports &amp; Reviews"/>
                    <xsd:enumeration value="Talking Points"/>
                    <xsd:enumeration value="Presentation Slides"/>
                    <xsd:enumeration value="Images"/>
                    <xsd:enumeration value="Communications Collateral"/>
                    <xsd:enumeration value="Document Template"/>
                    <xsd:enumeration value="Engagement Plans"/>
                    <xsd:enumeration value="Contact Details &amp; Distribution Lists"/>
                    <xsd:enumeration value="Internal Engagement"/>
                    <xsd:enumeration value="External Engagement"/>
                    <xsd:enumeration value="Travel &amp; Conferences"/>
                    <xsd:enumeration value="FWCC"/>
                    <xsd:enumeration value="Meeting Minutes"/>
                    <xsd:enumeration value="Pre-Workshop Materials"/>
                    <xsd:enumeration value="Post-Workshop Materials"/>
                    <xsd:enumeration value="Correspondence Regarding Acquisition of Assets"/>
                    <xsd:enumeration value="Enviromon"/>
                    <xsd:enumeration value="Alert 2"/>
                    <xsd:enumeration value="Service Level Specification (SLS), Flood Classification &amp; Risk"/>
                    <xsd:enumeration value="Catchment &amp; Asset Prioritisation Process"/>
                    <xsd:enumeration value="Pilot Projects"/>
                    <xsd:enumeration value="Commissioning &amp; New Station ID Requests"/>
                    <xsd:enumeration value="Asset Prioritisation Assessment"/>
                    <xsd:enumeration value="Site Information &amp; Documentation"/>
                    <xsd:enumeration value="Rating Table"/>
                    <xsd:enumeration value="Asset Maintenace"/>
                    <xsd:enumeration value="CH Database Check"/>
                    <xsd:enumeration value="Due Diligence"/>
                    <xsd:enumeration value="Native Title Notice"/>
                    <xsd:enumeration value="Transfer Agreement"/>
                  </xsd:restriction>
                </xsd:simpleType>
              </xsd:element>
            </xsd:sequence>
          </xsd:extension>
        </xsd:complexContent>
      </xsd:complexType>
    </xsd:element>
    <xsd:element name="State" ma:index="3" nillable="true" ma:displayName="State / Territory" ma:format="Dropdown" ma:internalName="State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National"/>
                    <xsd:enumeration value="Queensland"/>
                    <xsd:enumeration value="New South Wales"/>
                    <xsd:enumeration value="Australian Capital Territory"/>
                    <xsd:enumeration value="Victoria"/>
                    <xsd:enumeration value="South Australia"/>
                    <xsd:enumeration value="Tasmania"/>
                    <xsd:enumeration value="Western Australia"/>
                    <xsd:enumeration value="Northern Territory"/>
                  </xsd:restriction>
                </xsd:simpleType>
              </xsd:element>
            </xsd:sequence>
          </xsd:extension>
        </xsd:complexContent>
      </xsd:complexType>
    </xsd:element>
    <xsd:element name="Region_x002f_Catchment" ma:index="4" nillable="true" ma:displayName="Region" ma:format="Dropdown" ma:internalName="Region_x002f_Catchment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ar North Queensland"/>
                    <xsd:enumeration value="North West Queensland"/>
                    <xsd:enumeration value="Rocky to Bundy"/>
                    <xsd:enumeration value="South East Queensland"/>
                    <xsd:enumeration value="Townsville to Mackay"/>
                    <xsd:enumeration value="South Queensland"/>
                    <xsd:enumeration value="South West Queensland"/>
                    <xsd:enumeration value="Northern Rivers NSW"/>
                    <xsd:enumeration value="Mid-North Coast NSW"/>
                    <xsd:enumeration value="Central Coast &amp; Sydney NSW"/>
                    <xsd:enumeration value="South Coast NSW"/>
                    <xsd:enumeration value="South West NSW"/>
                    <xsd:enumeration value="Western NSW"/>
                    <xsd:enumeration value="North West NSW"/>
                  </xsd:restriction>
                </xsd:simpleType>
              </xsd:element>
            </xsd:sequence>
          </xsd:extension>
        </xsd:complexContent>
      </xsd:complexType>
    </xsd:element>
    <xsd:element name="Progress" ma:index="14" nillable="true" ma:displayName="Progress" ma:format="Dropdown" ma:hidden="true" ma:internalName="Progress" ma:readOnly="false">
      <xsd:simpleType>
        <xsd:restriction base="dms:Choice">
          <xsd:enumeration value="Draft"/>
          <xsd:enumeration value="Final"/>
          <xsd:enumeration value="In review"/>
          <xsd:enumeration value="Archive"/>
        </xsd:restriction>
      </xsd:simpleType>
    </xsd:element>
    <xsd:element name="Approvedby" ma:index="15" nillable="true" ma:displayName="Approved by" ma:format="Dropdown" ma:hidden="true" ma:internalName="Approvedby" ma:readOnly="false">
      <xsd:simpleType>
        <xsd:restriction base="dms:Choice">
          <xsd:enumeration value="CEO"/>
          <xsd:enumeration value="GE DDG"/>
          <xsd:enumeration value="GE CSG"/>
          <xsd:enumeration value="GE BSG"/>
          <xsd:enumeration value="GM Comms"/>
          <xsd:enumeration value="GM EPS"/>
          <xsd:enumeration value="GM OSO"/>
          <xsd:enumeration value="Public Affairs Manager"/>
          <xsd:enumeration value="SME"/>
        </xsd:restriction>
      </xsd:simpleType>
    </xsd:element>
    <xsd:element name="LocationofProject" ma:index="16" nillable="true" ma:displayName="Location of Project" ma:format="Dropdown" ma:hidden="true" ma:internalName="LocationofProject" ma:readOnly="false">
      <xsd:simpleType>
        <xsd:restriction base="dms:Choice">
          <xsd:enumeration value="All"/>
          <xsd:enumeration value="Other TBD"/>
          <xsd:enumeration value="Queensland"/>
          <xsd:enumeration value="NSW"/>
        </xsd:restriction>
      </xsd:simpleType>
    </xsd:element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24" nillable="true" ma:displayName="Tags" ma:hidden="true" ma:internalName="MediaServiceAutoTags" ma:readOnly="true">
      <xsd:simpleType>
        <xsd:restriction base="dms:Text"/>
      </xsd:simpleType>
    </xsd:element>
    <xsd:element name="MediaServiceOCR" ma:index="2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2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0" nillable="true" ma:displayName="Location" ma:hidden="true" ma:internalName="MediaServiceLocation" ma:readOnly="true">
      <xsd:simpleType>
        <xsd:restriction base="dms:Text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Organisation" ma:index="34" nillable="true" ma:displayName="Organisation" ma:format="Dropdown" ma:hidden="true" ma:internalName="Organisation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ar North Queensland ROC"/>
                    <xsd:enumeration value="South West Queensland ROC"/>
                    <xsd:enumeration value="Choice 3"/>
                  </xsd:restriction>
                </xsd:simpleType>
              </xsd:element>
            </xsd:sequence>
          </xsd:extension>
        </xsd:complexContent>
      </xsd:complexType>
    </xsd:element>
    <xsd:element name="MediaServiceSearchProperties" ma:index="3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38" nillable="true" ma:taxonomy="true" ma:internalName="lcf76f155ced4ddcb4097134ff3c332f" ma:taxonomyFieldName="MediaServiceImageTags" ma:displayName="Image Tags" ma:readOnly="false" ma:fieldId="{5cf76f15-5ced-4ddc-b409-7134ff3c332f}" ma:taxonomyMulti="true" ma:sspId="ec9612d0-dc94-4ffe-ad7d-ed54524ecf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ject" ma:index="39" nillable="true" ma:displayName="Project" ma:format="Dropdown" ma:hidden="true" ma:internalName="Project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WIN General"/>
                    <xsd:enumeration value="Scoping Study"/>
                    <xsd:enumeration value="Asset Maintenance Transition"/>
                    <xsd:enumeration value="Equipment Upgrade"/>
                    <xsd:enumeration value="Software Replacement"/>
                    <xsd:enumeration value="Alert 2"/>
                    <xsd:enumeration value="Enviromon"/>
                    <xsd:enumeration value="General Maintenance"/>
                  </xsd:restriction>
                </xsd:simple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77e1a3-053e-4110-b1ac-eb9940f14a0e" elementFormDefault="qualified">
    <xsd:import namespace="http://schemas.microsoft.com/office/2006/documentManagement/types"/>
    <xsd:import namespace="http://schemas.microsoft.com/office/infopath/2007/PartnerControls"/>
    <xsd:element name="FileCategory" ma:index="5" nillable="true" ma:displayName="File Category" ma:format="Dropdown" ma:internalName="FileCategory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min - WHS - travel"/>
                    <xsd:enumeration value="Agriculture"/>
                    <xsd:enumeration value="Briefing"/>
                    <xsd:enumeration value="Budget"/>
                    <xsd:enumeration value="Climate change"/>
                    <xsd:enumeration value="Committees"/>
                    <xsd:enumeration value="Communications"/>
                    <xsd:enumeration value="Compliance"/>
                    <xsd:enumeration value="Customer engagement"/>
                    <xsd:enumeration value="Data"/>
                    <xsd:enumeration value="Energy"/>
                    <xsd:enumeration value="Evaporation"/>
                    <xsd:enumeration value="Events"/>
                    <xsd:enumeration value="Emergency management"/>
                    <xsd:enumeration value="Extremes"/>
                    <xsd:enumeration value="Finance"/>
                    <xsd:enumeration value="Flood"/>
                    <xsd:enumeration value="Governance"/>
                    <xsd:enumeration value="Hazards warnings and forecasts"/>
                    <xsd:enumeration value="Issues management"/>
                    <xsd:enumeration value="Leadership"/>
                    <xsd:enumeration value="Legal"/>
                    <xsd:enumeration value="Meetings"/>
                    <xsd:enumeration value="Ministerial"/>
                    <xsd:enumeration value="Observations"/>
                    <xsd:enumeration value="Operational"/>
                    <xsd:enumeration value="Outlooks"/>
                    <xsd:enumeration value="People management"/>
                    <xsd:enumeration value="Planning"/>
                    <xsd:enumeration value="Procurement"/>
                    <xsd:enumeration value="Project Management"/>
                    <xsd:enumeration value="Projections"/>
                    <xsd:enumeration value="Rainfall"/>
                    <xsd:enumeration value="Reporting"/>
                    <xsd:enumeration value="Research"/>
                    <xsd:enumeration value="Risk management"/>
                    <xsd:enumeration value="Severe weather - storms"/>
                    <xsd:enumeration value="Skill - verification"/>
                    <xsd:enumeration value="Snow"/>
                    <xsd:enumeration value="Soil moisture"/>
                    <xsd:enumeration value="Streamflow"/>
                    <xsd:enumeration value="Temperature"/>
                    <xsd:enumeration value="Tools"/>
                    <xsd:enumeration value="Training"/>
                    <xsd:enumeration value="Tropical / TCs"/>
                    <xsd:enumeration value="Water"/>
                    <xsd:enumeration value="Website"/>
                    <xsd:enumeration value="Wind"/>
                  </xsd:restriction>
                </xsd:simpleType>
              </xsd:element>
            </xsd:sequence>
          </xsd:extension>
        </xsd:complexContent>
      </xsd:complexType>
    </xsd:element>
    <xsd:element name="pfa4581a01424660b23021e80c1f49c2" ma:index="7" nillable="true" ma:taxonomy="true" ma:internalName="pfa4581a01424660b23021e80c1f49c2" ma:taxonomyFieldName="Record_x0020_Activity" ma:displayName="Record Activity" ma:readOnly="false" ma:fieldId="{9fa4581a-0142-4660-b230-21e80c1f49c2}" ma:sspId="ec9612d0-dc94-4ffe-ad7d-ed54524ecfd4" ma:termSetId="2edc4fbf-5846-4093-a4e9-2dc17d184c0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8" nillable="true" ma:displayName="Taxonomy Catch All Column" ma:hidden="true" ma:list="{a7dfc4dc-dbd6-4d63-a873-a60ec18de961}" ma:internalName="TaxCatchAll" ma:readOnly="false" ma:showField="CatchAllData" ma:web="1277e1a3-053e-4110-b1ac-eb9940f14a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a7dfc4dc-dbd6-4d63-a873-a60ec18de961}" ma:internalName="TaxCatchAllLabel" ma:readOnly="false" ma:showField="CatchAllDataLabel" ma:web="1277e1a3-053e-4110-b1ac-eb9940f14a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iteKeyword" ma:index="11" nillable="true" ma:displayName="Site Keyword" ma:description="Site keywords with semicolon(;) delimiter." ma:hidden="true" ma:internalName="SiteKeyword" ma:readOnly="false">
      <xsd:simpleType>
        <xsd:restriction base="dms:Text"/>
      </xsd:simpleType>
    </xsd:element>
    <xsd:element name="FileClass" ma:index="17" nillable="true" ma:displayName="File Class" ma:format="Dropdown" ma:hidden="true" ma:internalName="FileClass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ction plan"/>
                    <xsd:enumeration value="Advertisement"/>
                    <xsd:enumeration value="Agenda"/>
                    <xsd:enumeration value="Agreement"/>
                    <xsd:enumeration value="Article - Bulletin - Newsletter"/>
                    <xsd:enumeration value="Blog"/>
                    <xsd:enumeration value="Brief"/>
                    <xsd:enumeration value="Checklist"/>
                    <xsd:enumeration value="Contract"/>
                    <xsd:enumeration value="Correspondence"/>
                    <xsd:enumeration value="Data file"/>
                    <xsd:enumeration value="Design"/>
                    <xsd:enumeration value="Diagram"/>
                    <xsd:enumeration value="Dictionary"/>
                    <xsd:enumeration value="Drawing"/>
                    <xsd:enumeration value="Evidence"/>
                    <xsd:enumeration value="Fact sheet"/>
                    <xsd:enumeration value="FAQs"/>
                    <xsd:enumeration value="Feedback"/>
                    <xsd:enumeration value="Flow chart"/>
                    <xsd:enumeration value="Flyer"/>
                    <xsd:enumeration value="Form"/>
                    <xsd:enumeration value="Graph"/>
                    <xsd:enumeration value="Graphic"/>
                    <xsd:enumeration value="Guidelines"/>
                    <xsd:enumeration value="Icon"/>
                    <xsd:enumeration value="Image"/>
                    <xsd:enumeration value="Infographic"/>
                    <xsd:enumeration value="Instruction"/>
                    <xsd:enumeration value="Key messages"/>
                    <xsd:enumeration value="Map"/>
                    <xsd:enumeration value="Media release"/>
                    <xsd:enumeration value="memo"/>
                    <xsd:enumeration value="Ministerial update"/>
                    <xsd:enumeration value="Minutes"/>
                    <xsd:enumeration value="Notes"/>
                    <xsd:enumeration value="Papers - Board - Executive"/>
                    <xsd:enumeration value="Papers - Meetings - Supporting"/>
                    <xsd:enumeration value="Plan"/>
                    <xsd:enumeration value="Policy"/>
                    <xsd:enumeration value="Presentation"/>
                    <xsd:enumeration value="Procedure"/>
                    <xsd:enumeration value="Proposal"/>
                    <xsd:enumeration value="Poster"/>
                    <xsd:enumeration value="Publication"/>
                    <xsd:enumeration value="Quote"/>
                    <xsd:enumeration value="Receipt/Invoice"/>
                    <xsd:enumeration value="Reference Material"/>
                    <xsd:enumeration value="Register"/>
                    <xsd:enumeration value="Report"/>
                    <xsd:enumeration value="Roster"/>
                    <xsd:enumeration value="Social Media post"/>
                    <xsd:enumeration value="Supporting material"/>
                    <xsd:enumeration value="Survey"/>
                    <xsd:enumeration value="Talking Points"/>
                    <xsd:enumeration value="Template"/>
                    <xsd:enumeration value="Transcript"/>
                    <xsd:enumeration value="Video"/>
                    <xsd:enumeration value="Webinar"/>
                    <xsd:enumeration value="Webtext"/>
                    <xsd:enumeration value="Terms of Reference"/>
                    <xsd:enumeration value="List"/>
                  </xsd:restriction>
                </xsd:simpleType>
              </xsd:element>
            </xsd:sequence>
          </xsd:extension>
        </xsd:complexContent>
      </xsd:complexType>
    </xsd:element>
    <xsd:element name="SharedWithUsers" ma:index="22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Version" ma:index="40" nillable="true" ma:displayName="Version" ma:hidden="true" ma:internalName="_Version" ma:readOnly="fals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e xmlns="21b13081-1bdf-44db-9f8a-1278b790a071">
      <Value>New South Wales</Value>
    </State>
    <LocationofProject xmlns="21b13081-1bdf-44db-9f8a-1278b790a071" xsi:nil="true"/>
    <_Version xmlns="http://schemas.microsoft.com/sharepoint/v3/fields" xsi:nil="true"/>
    <FileClass xmlns="1277e1a3-053e-4110-b1ac-eb9940f14a0e" xsi:nil="true"/>
    <Organisation xmlns="21b13081-1bdf-44db-9f8a-1278b790a071" xsi:nil="true"/>
    <Approvedby xmlns="21b13081-1bdf-44db-9f8a-1278b790a071" xsi:nil="true"/>
    <TaxCatchAllLabel xmlns="1277e1a3-053e-4110-b1ac-eb9940f14a0e" xsi:nil="true"/>
    <FileCategory xmlns="1277e1a3-053e-4110-b1ac-eb9940f14a0e" xsi:nil="true"/>
    <Project xmlns="21b13081-1bdf-44db-9f8a-1278b790a071" xsi:nil="true"/>
    <Region_x002f_Catchment xmlns="21b13081-1bdf-44db-9f8a-1278b790a071" xsi:nil="true"/>
    <lcf76f155ced4ddcb4097134ff3c332f xmlns="21b13081-1bdf-44db-9f8a-1278b790a071">
      <Terms xmlns="http://schemas.microsoft.com/office/infopath/2007/PartnerControls"/>
    </lcf76f155ced4ddcb4097134ff3c332f>
    <Category xmlns="21b13081-1bdf-44db-9f8a-1278b790a071">
      <Value>Catchment &amp; Asset Prioritisation Process</Value>
    </Category>
    <SiteKeyword xmlns="1277e1a3-053e-4110-b1ac-eb9940f14a0e" xsi:nil="true"/>
    <Progress xmlns="21b13081-1bdf-44db-9f8a-1278b790a071" xsi:nil="true"/>
    <pfa4581a01424660b23021e80c1f49c2 xmlns="1277e1a3-053e-4110-b1ac-eb9940f14a0e">
      <Terms xmlns="http://schemas.microsoft.com/office/infopath/2007/PartnerControls"/>
    </pfa4581a01424660b23021e80c1f49c2>
    <TaxCatchAll xmlns="1277e1a3-053e-4110-b1ac-eb9940f14a0e" xsi:nil="true"/>
  </documentManagement>
</p:properties>
</file>

<file path=customXml/itemProps1.xml><?xml version="1.0" encoding="utf-8"?>
<ds:datastoreItem xmlns:ds="http://schemas.openxmlformats.org/officeDocument/2006/customXml" ds:itemID="{C93E0C9A-B5B1-4873-960A-D2BB6BFC965F}"/>
</file>

<file path=customXml/itemProps2.xml><?xml version="1.0" encoding="utf-8"?>
<ds:datastoreItem xmlns:ds="http://schemas.openxmlformats.org/officeDocument/2006/customXml" ds:itemID="{12D8CDC6-996E-49FE-9D9A-127698E98E74}"/>
</file>

<file path=customXml/itemProps3.xml><?xml version="1.0" encoding="utf-8"?>
<ds:datastoreItem xmlns:ds="http://schemas.openxmlformats.org/officeDocument/2006/customXml" ds:itemID="{8BAF7FDA-EFF5-4EA6-99A5-CFD65CA6F6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JBP Elevation and AEP data deliverable</dc:title>
  <dc:subject/>
  <dc:creator>Zoe Nehring</dc:creator>
  <cp:keywords/>
  <dc:description/>
  <cp:lastModifiedBy/>
  <cp:revision/>
  <dcterms:created xsi:type="dcterms:W3CDTF">2024-11-25T03:44:17Z</dcterms:created>
  <dcterms:modified xsi:type="dcterms:W3CDTF">2025-05-29T03:34:55Z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edad5e-85c4-4d99-839f-4db88ccef5c5_Enabled">
    <vt:lpwstr>true</vt:lpwstr>
  </property>
  <property fmtid="{D5CDD505-2E9C-101B-9397-08002B2CF9AE}" pid="3" name="MSIP_Label_55edad5e-85c4-4d99-839f-4db88ccef5c5_SetDate">
    <vt:lpwstr>2024-12-03T22:19:27Z</vt:lpwstr>
  </property>
  <property fmtid="{D5CDD505-2E9C-101B-9397-08002B2CF9AE}" pid="4" name="MSIP_Label_55edad5e-85c4-4d99-839f-4db88ccef5c5_Method">
    <vt:lpwstr>Standard</vt:lpwstr>
  </property>
  <property fmtid="{D5CDD505-2E9C-101B-9397-08002B2CF9AE}" pid="5" name="MSIP_Label_55edad5e-85c4-4d99-839f-4db88ccef5c5_Name">
    <vt:lpwstr>PSPF Official</vt:lpwstr>
  </property>
  <property fmtid="{D5CDD505-2E9C-101B-9397-08002B2CF9AE}" pid="6" name="MSIP_Label_55edad5e-85c4-4d99-839f-4db88ccef5c5_SiteId">
    <vt:lpwstr>d1ad7db5-97dd-4f2b-816e-50d663b7bb94</vt:lpwstr>
  </property>
  <property fmtid="{D5CDD505-2E9C-101B-9397-08002B2CF9AE}" pid="7" name="MSIP_Label_55edad5e-85c4-4d99-839f-4db88ccef5c5_ActionId">
    <vt:lpwstr>25b97d58-1ee2-4625-ae4c-78b68a47f227</vt:lpwstr>
  </property>
  <property fmtid="{D5CDD505-2E9C-101B-9397-08002B2CF9AE}" pid="8" name="MSIP_Label_55edad5e-85c4-4d99-839f-4db88ccef5c5_ContentBits">
    <vt:lpwstr>3</vt:lpwstr>
  </property>
  <property fmtid="{D5CDD505-2E9C-101B-9397-08002B2CF9AE}" pid="9" name="ContentTypeId">
    <vt:lpwstr>0x01010090F4FE4D31484F48AE8A6F9ABB06794F00E56FD4A30864BF49B2CF0DC1E8DFE682</vt:lpwstr>
  </property>
  <property fmtid="{D5CDD505-2E9C-101B-9397-08002B2CF9AE}" pid="10" name="MediaServiceImageTags">
    <vt:lpwstr/>
  </property>
  <property fmtid="{D5CDD505-2E9C-101B-9397-08002B2CF9AE}" pid="11" name="Record Activity">
    <vt:lpwstr/>
  </property>
  <property fmtid="{D5CDD505-2E9C-101B-9397-08002B2CF9AE}" pid="12" name="Record_x0020_Activity">
    <vt:lpwstr/>
  </property>
</Properties>
</file>